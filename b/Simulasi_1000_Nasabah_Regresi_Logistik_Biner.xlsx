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 1000 PAPER\MACHINE LEARNING\REGRESI LOGISTIK BINER\aplikasi - 1\RegLog_Biner_Bab2_Prototype\"/>
    </mc:Choice>
  </mc:AlternateContent>
  <xr:revisionPtr revIDLastSave="0" documentId="13_ncr:1_{1A090043-4626-4878-912C-850A31C09B1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ta_Simulasi" sheetId="1" r:id="rId1"/>
    <sheet name="Kamus_Variabel" sheetId="2" r:id="rId2"/>
    <sheet name="Ringkasan" sheetId="3" r:id="rId3"/>
    <sheet name="Panduan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11" i="3"/>
  <c r="B9" i="3"/>
  <c r="B8" i="3"/>
  <c r="B10" i="3" s="1"/>
  <c r="B7" i="3"/>
</calcChain>
</file>

<file path=xl/sharedStrings.xml><?xml version="1.0" encoding="utf-8"?>
<sst xmlns="http://schemas.openxmlformats.org/spreadsheetml/2006/main" count="4137" uniqueCount="1117">
  <si>
    <t>ID_Nasabah</t>
  </si>
  <si>
    <t>Usia</t>
  </si>
  <si>
    <t>Penghasilan_Bulanan</t>
  </si>
  <si>
    <t>Saldo_Tabungan</t>
  </si>
  <si>
    <t>Pekerjaan</t>
  </si>
  <si>
    <t>Memiliki_Pinjaman</t>
  </si>
  <si>
    <t>Pernah_Dihubungi</t>
  </si>
  <si>
    <t>Berlangganan_Deposito</t>
  </si>
  <si>
    <t>N0001</t>
  </si>
  <si>
    <t>Karyawan</t>
  </si>
  <si>
    <t>Ya</t>
  </si>
  <si>
    <t>N0002</t>
  </si>
  <si>
    <t>Tidak</t>
  </si>
  <si>
    <t>N0003</t>
  </si>
  <si>
    <t>PNS</t>
  </si>
  <si>
    <t>N0004</t>
  </si>
  <si>
    <t>Wiraswasta</t>
  </si>
  <si>
    <t>N0005</t>
  </si>
  <si>
    <t>N0006</t>
  </si>
  <si>
    <t>N0007</t>
  </si>
  <si>
    <t>N0008</t>
  </si>
  <si>
    <t>N0009</t>
  </si>
  <si>
    <t>N0010</t>
  </si>
  <si>
    <t>N0011</t>
  </si>
  <si>
    <t>N0012</t>
  </si>
  <si>
    <t>N0013</t>
  </si>
  <si>
    <t>N0014</t>
  </si>
  <si>
    <t>N0015</t>
  </si>
  <si>
    <t>N0016</t>
  </si>
  <si>
    <t>N0017</t>
  </si>
  <si>
    <t>N0018</t>
  </si>
  <si>
    <t>Pensiunan</t>
  </si>
  <si>
    <t>N0019</t>
  </si>
  <si>
    <t>N0020</t>
  </si>
  <si>
    <t>N0021</t>
  </si>
  <si>
    <t>N0022</t>
  </si>
  <si>
    <t>N0023</t>
  </si>
  <si>
    <t>N0024</t>
  </si>
  <si>
    <t>N0025</t>
  </si>
  <si>
    <t>N0026</t>
  </si>
  <si>
    <t>N0027</t>
  </si>
  <si>
    <t>N0028</t>
  </si>
  <si>
    <t>N0029</t>
  </si>
  <si>
    <t>N0030</t>
  </si>
  <si>
    <t>N0031</t>
  </si>
  <si>
    <t>N0032</t>
  </si>
  <si>
    <t>N0033</t>
  </si>
  <si>
    <t>N0034</t>
  </si>
  <si>
    <t>N0035</t>
  </si>
  <si>
    <t>N0036</t>
  </si>
  <si>
    <t>N0037</t>
  </si>
  <si>
    <t>N0038</t>
  </si>
  <si>
    <t>N0039</t>
  </si>
  <si>
    <t>N0040</t>
  </si>
  <si>
    <t>N0041</t>
  </si>
  <si>
    <t>N0042</t>
  </si>
  <si>
    <t>N0043</t>
  </si>
  <si>
    <t>N0044</t>
  </si>
  <si>
    <t>N0045</t>
  </si>
  <si>
    <t>N0046</t>
  </si>
  <si>
    <t>N0047</t>
  </si>
  <si>
    <t>N0048</t>
  </si>
  <si>
    <t>N0049</t>
  </si>
  <si>
    <t>N0050</t>
  </si>
  <si>
    <t>N0051</t>
  </si>
  <si>
    <t>N0052</t>
  </si>
  <si>
    <t>N0053</t>
  </si>
  <si>
    <t>N0054</t>
  </si>
  <si>
    <t>N0055</t>
  </si>
  <si>
    <t>N0056</t>
  </si>
  <si>
    <t>N0057</t>
  </si>
  <si>
    <t>N0058</t>
  </si>
  <si>
    <t>N0059</t>
  </si>
  <si>
    <t>N0060</t>
  </si>
  <si>
    <t>N0061</t>
  </si>
  <si>
    <t>N0062</t>
  </si>
  <si>
    <t>N0063</t>
  </si>
  <si>
    <t>N0064</t>
  </si>
  <si>
    <t>N0065</t>
  </si>
  <si>
    <t>N0066</t>
  </si>
  <si>
    <t>N0067</t>
  </si>
  <si>
    <t>N0068</t>
  </si>
  <si>
    <t>N0069</t>
  </si>
  <si>
    <t>N0070</t>
  </si>
  <si>
    <t>N0071</t>
  </si>
  <si>
    <t>N0072</t>
  </si>
  <si>
    <t>N0073</t>
  </si>
  <si>
    <t>N0074</t>
  </si>
  <si>
    <t>N0075</t>
  </si>
  <si>
    <t>N0076</t>
  </si>
  <si>
    <t>N0077</t>
  </si>
  <si>
    <t>N0078</t>
  </si>
  <si>
    <t>N0079</t>
  </si>
  <si>
    <t>N0080</t>
  </si>
  <si>
    <t>N0081</t>
  </si>
  <si>
    <t>N0082</t>
  </si>
  <si>
    <t>N0083</t>
  </si>
  <si>
    <t>N0084</t>
  </si>
  <si>
    <t>N0085</t>
  </si>
  <si>
    <t>N0086</t>
  </si>
  <si>
    <t>N0087</t>
  </si>
  <si>
    <t>N0088</t>
  </si>
  <si>
    <t>N0089</t>
  </si>
  <si>
    <t>N0090</t>
  </si>
  <si>
    <t>N0091</t>
  </si>
  <si>
    <t>N0092</t>
  </si>
  <si>
    <t>N0093</t>
  </si>
  <si>
    <t>N0094</t>
  </si>
  <si>
    <t>N0095</t>
  </si>
  <si>
    <t>N0096</t>
  </si>
  <si>
    <t>N0097</t>
  </si>
  <si>
    <t>N0098</t>
  </si>
  <si>
    <t>N0099</t>
  </si>
  <si>
    <t>N0100</t>
  </si>
  <si>
    <t>N0101</t>
  </si>
  <si>
    <t>N0102</t>
  </si>
  <si>
    <t>N0103</t>
  </si>
  <si>
    <t>N0104</t>
  </si>
  <si>
    <t>N0105</t>
  </si>
  <si>
    <t>N0106</t>
  </si>
  <si>
    <t>N0107</t>
  </si>
  <si>
    <t>N0108</t>
  </si>
  <si>
    <t>N0109</t>
  </si>
  <si>
    <t>N0110</t>
  </si>
  <si>
    <t>N0111</t>
  </si>
  <si>
    <t>N0112</t>
  </si>
  <si>
    <t>N0113</t>
  </si>
  <si>
    <t>N0114</t>
  </si>
  <si>
    <t>N0115</t>
  </si>
  <si>
    <t>N0116</t>
  </si>
  <si>
    <t>N0117</t>
  </si>
  <si>
    <t>N0118</t>
  </si>
  <si>
    <t>N0119</t>
  </si>
  <si>
    <t>N0120</t>
  </si>
  <si>
    <t>N0121</t>
  </si>
  <si>
    <t>N0122</t>
  </si>
  <si>
    <t>N0123</t>
  </si>
  <si>
    <t>N0124</t>
  </si>
  <si>
    <t>N0125</t>
  </si>
  <si>
    <t>N0126</t>
  </si>
  <si>
    <t>N0127</t>
  </si>
  <si>
    <t>N0128</t>
  </si>
  <si>
    <t>N0129</t>
  </si>
  <si>
    <t>N0130</t>
  </si>
  <si>
    <t>N0131</t>
  </si>
  <si>
    <t>N0132</t>
  </si>
  <si>
    <t>N0133</t>
  </si>
  <si>
    <t>N0134</t>
  </si>
  <si>
    <t>N0135</t>
  </si>
  <si>
    <t>N0136</t>
  </si>
  <si>
    <t>N0137</t>
  </si>
  <si>
    <t>N0138</t>
  </si>
  <si>
    <t>N0139</t>
  </si>
  <si>
    <t>N0140</t>
  </si>
  <si>
    <t>N0141</t>
  </si>
  <si>
    <t>N0142</t>
  </si>
  <si>
    <t>N0143</t>
  </si>
  <si>
    <t>N0144</t>
  </si>
  <si>
    <t>N0145</t>
  </si>
  <si>
    <t>N0146</t>
  </si>
  <si>
    <t>N0147</t>
  </si>
  <si>
    <t>N0148</t>
  </si>
  <si>
    <t>N0149</t>
  </si>
  <si>
    <t>N0150</t>
  </si>
  <si>
    <t>N0151</t>
  </si>
  <si>
    <t>N0152</t>
  </si>
  <si>
    <t>N0153</t>
  </si>
  <si>
    <t>N0154</t>
  </si>
  <si>
    <t>N0155</t>
  </si>
  <si>
    <t>N0156</t>
  </si>
  <si>
    <t>N0157</t>
  </si>
  <si>
    <t>N0158</t>
  </si>
  <si>
    <t>N0159</t>
  </si>
  <si>
    <t>N0160</t>
  </si>
  <si>
    <t>N0161</t>
  </si>
  <si>
    <t>N0162</t>
  </si>
  <si>
    <t>N0163</t>
  </si>
  <si>
    <t>N0164</t>
  </si>
  <si>
    <t>N0165</t>
  </si>
  <si>
    <t>N0166</t>
  </si>
  <si>
    <t>N0167</t>
  </si>
  <si>
    <t>N0168</t>
  </si>
  <si>
    <t>N0169</t>
  </si>
  <si>
    <t>N0170</t>
  </si>
  <si>
    <t>N0171</t>
  </si>
  <si>
    <t>N0172</t>
  </si>
  <si>
    <t>N0173</t>
  </si>
  <si>
    <t>N0174</t>
  </si>
  <si>
    <t>N0175</t>
  </si>
  <si>
    <t>N0176</t>
  </si>
  <si>
    <t>N0177</t>
  </si>
  <si>
    <t>N0178</t>
  </si>
  <si>
    <t>N0179</t>
  </si>
  <si>
    <t>N0180</t>
  </si>
  <si>
    <t>N0181</t>
  </si>
  <si>
    <t>N0182</t>
  </si>
  <si>
    <t>N0183</t>
  </si>
  <si>
    <t>N0184</t>
  </si>
  <si>
    <t>N0185</t>
  </si>
  <si>
    <t>N0186</t>
  </si>
  <si>
    <t>N0187</t>
  </si>
  <si>
    <t>N0188</t>
  </si>
  <si>
    <t>N0189</t>
  </si>
  <si>
    <t>N0190</t>
  </si>
  <si>
    <t>N0191</t>
  </si>
  <si>
    <t>N0192</t>
  </si>
  <si>
    <t>N0193</t>
  </si>
  <si>
    <t>N0194</t>
  </si>
  <si>
    <t>N0195</t>
  </si>
  <si>
    <t>N0196</t>
  </si>
  <si>
    <t>N0197</t>
  </si>
  <si>
    <t>N0198</t>
  </si>
  <si>
    <t>N0199</t>
  </si>
  <si>
    <t>N0200</t>
  </si>
  <si>
    <t>N0201</t>
  </si>
  <si>
    <t>N0202</t>
  </si>
  <si>
    <t>N0203</t>
  </si>
  <si>
    <t>N0204</t>
  </si>
  <si>
    <t>N0205</t>
  </si>
  <si>
    <t>N0206</t>
  </si>
  <si>
    <t>N0207</t>
  </si>
  <si>
    <t>N0208</t>
  </si>
  <si>
    <t>N0209</t>
  </si>
  <si>
    <t>N0210</t>
  </si>
  <si>
    <t>N0211</t>
  </si>
  <si>
    <t>N0212</t>
  </si>
  <si>
    <t>N0213</t>
  </si>
  <si>
    <t>N0214</t>
  </si>
  <si>
    <t>N0215</t>
  </si>
  <si>
    <t>N0216</t>
  </si>
  <si>
    <t>N0217</t>
  </si>
  <si>
    <t>N0218</t>
  </si>
  <si>
    <t>N0219</t>
  </si>
  <si>
    <t>N0220</t>
  </si>
  <si>
    <t>N0221</t>
  </si>
  <si>
    <t>N0222</t>
  </si>
  <si>
    <t>N0223</t>
  </si>
  <si>
    <t>N0224</t>
  </si>
  <si>
    <t>N0225</t>
  </si>
  <si>
    <t>N0226</t>
  </si>
  <si>
    <t>N0227</t>
  </si>
  <si>
    <t>N0228</t>
  </si>
  <si>
    <t>N0229</t>
  </si>
  <si>
    <t>N0230</t>
  </si>
  <si>
    <t>N0231</t>
  </si>
  <si>
    <t>N0232</t>
  </si>
  <si>
    <t>N0233</t>
  </si>
  <si>
    <t>N0234</t>
  </si>
  <si>
    <t>N0235</t>
  </si>
  <si>
    <t>N0236</t>
  </si>
  <si>
    <t>N0237</t>
  </si>
  <si>
    <t>N0238</t>
  </si>
  <si>
    <t>N0239</t>
  </si>
  <si>
    <t>N0240</t>
  </si>
  <si>
    <t>N0241</t>
  </si>
  <si>
    <t>N0242</t>
  </si>
  <si>
    <t>N0243</t>
  </si>
  <si>
    <t>N0244</t>
  </si>
  <si>
    <t>N0245</t>
  </si>
  <si>
    <t>N0246</t>
  </si>
  <si>
    <t>N0247</t>
  </si>
  <si>
    <t>N0248</t>
  </si>
  <si>
    <t>N0249</t>
  </si>
  <si>
    <t>N0250</t>
  </si>
  <si>
    <t>N0251</t>
  </si>
  <si>
    <t>N0252</t>
  </si>
  <si>
    <t>N0253</t>
  </si>
  <si>
    <t>N0254</t>
  </si>
  <si>
    <t>N0255</t>
  </si>
  <si>
    <t>N0256</t>
  </si>
  <si>
    <t>N0257</t>
  </si>
  <si>
    <t>N0258</t>
  </si>
  <si>
    <t>N0259</t>
  </si>
  <si>
    <t>N0260</t>
  </si>
  <si>
    <t>N0261</t>
  </si>
  <si>
    <t>N0262</t>
  </si>
  <si>
    <t>N0263</t>
  </si>
  <si>
    <t>N0264</t>
  </si>
  <si>
    <t>N0265</t>
  </si>
  <si>
    <t>N0266</t>
  </si>
  <si>
    <t>N0267</t>
  </si>
  <si>
    <t>N0268</t>
  </si>
  <si>
    <t>N0269</t>
  </si>
  <si>
    <t>N0270</t>
  </si>
  <si>
    <t>N0271</t>
  </si>
  <si>
    <t>N0272</t>
  </si>
  <si>
    <t>N0273</t>
  </si>
  <si>
    <t>N0274</t>
  </si>
  <si>
    <t>N0275</t>
  </si>
  <si>
    <t>N0276</t>
  </si>
  <si>
    <t>N0277</t>
  </si>
  <si>
    <t>N0278</t>
  </si>
  <si>
    <t>N0279</t>
  </si>
  <si>
    <t>N0280</t>
  </si>
  <si>
    <t>N0281</t>
  </si>
  <si>
    <t>N0282</t>
  </si>
  <si>
    <t>N0283</t>
  </si>
  <si>
    <t>N0284</t>
  </si>
  <si>
    <t>N0285</t>
  </si>
  <si>
    <t>N0286</t>
  </si>
  <si>
    <t>N0287</t>
  </si>
  <si>
    <t>N0288</t>
  </si>
  <si>
    <t>N0289</t>
  </si>
  <si>
    <t>N0290</t>
  </si>
  <si>
    <t>N0291</t>
  </si>
  <si>
    <t>N0292</t>
  </si>
  <si>
    <t>N0293</t>
  </si>
  <si>
    <t>N0294</t>
  </si>
  <si>
    <t>N0295</t>
  </si>
  <si>
    <t>N0296</t>
  </si>
  <si>
    <t>N0297</t>
  </si>
  <si>
    <t>N0298</t>
  </si>
  <si>
    <t>N0299</t>
  </si>
  <si>
    <t>N0300</t>
  </si>
  <si>
    <t>N0301</t>
  </si>
  <si>
    <t>N0302</t>
  </si>
  <si>
    <t>N0303</t>
  </si>
  <si>
    <t>N0304</t>
  </si>
  <si>
    <t>N0305</t>
  </si>
  <si>
    <t>N0306</t>
  </si>
  <si>
    <t>N0307</t>
  </si>
  <si>
    <t>N0308</t>
  </si>
  <si>
    <t>N0309</t>
  </si>
  <si>
    <t>N0310</t>
  </si>
  <si>
    <t>N0311</t>
  </si>
  <si>
    <t>N0312</t>
  </si>
  <si>
    <t>N0313</t>
  </si>
  <si>
    <t>N0314</t>
  </si>
  <si>
    <t>N0315</t>
  </si>
  <si>
    <t>N0316</t>
  </si>
  <si>
    <t>N0317</t>
  </si>
  <si>
    <t>N0318</t>
  </si>
  <si>
    <t>N0319</t>
  </si>
  <si>
    <t>N0320</t>
  </si>
  <si>
    <t>N0321</t>
  </si>
  <si>
    <t>N0322</t>
  </si>
  <si>
    <t>N0323</t>
  </si>
  <si>
    <t>N0324</t>
  </si>
  <si>
    <t>N0325</t>
  </si>
  <si>
    <t>N0326</t>
  </si>
  <si>
    <t>N0327</t>
  </si>
  <si>
    <t>N0328</t>
  </si>
  <si>
    <t>N0329</t>
  </si>
  <si>
    <t>N0330</t>
  </si>
  <si>
    <t>N0331</t>
  </si>
  <si>
    <t>N0332</t>
  </si>
  <si>
    <t>N0333</t>
  </si>
  <si>
    <t>N0334</t>
  </si>
  <si>
    <t>N0335</t>
  </si>
  <si>
    <t>N0336</t>
  </si>
  <si>
    <t>N0337</t>
  </si>
  <si>
    <t>N0338</t>
  </si>
  <si>
    <t>N0339</t>
  </si>
  <si>
    <t>N0340</t>
  </si>
  <si>
    <t>N0341</t>
  </si>
  <si>
    <t>N0342</t>
  </si>
  <si>
    <t>N0343</t>
  </si>
  <si>
    <t>N0344</t>
  </si>
  <si>
    <t>N0345</t>
  </si>
  <si>
    <t>N0346</t>
  </si>
  <si>
    <t>N0347</t>
  </si>
  <si>
    <t>N0348</t>
  </si>
  <si>
    <t>N0349</t>
  </si>
  <si>
    <t>N0350</t>
  </si>
  <si>
    <t>N0351</t>
  </si>
  <si>
    <t>N0352</t>
  </si>
  <si>
    <t>N0353</t>
  </si>
  <si>
    <t>N0354</t>
  </si>
  <si>
    <t>N0355</t>
  </si>
  <si>
    <t>N0356</t>
  </si>
  <si>
    <t>N0357</t>
  </si>
  <si>
    <t>N0358</t>
  </si>
  <si>
    <t>N0359</t>
  </si>
  <si>
    <t>N0360</t>
  </si>
  <si>
    <t>N0361</t>
  </si>
  <si>
    <t>N0362</t>
  </si>
  <si>
    <t>N0363</t>
  </si>
  <si>
    <t>N0364</t>
  </si>
  <si>
    <t>N0365</t>
  </si>
  <si>
    <t>N0366</t>
  </si>
  <si>
    <t>N0367</t>
  </si>
  <si>
    <t>N0368</t>
  </si>
  <si>
    <t>N0369</t>
  </si>
  <si>
    <t>N0370</t>
  </si>
  <si>
    <t>N0371</t>
  </si>
  <si>
    <t>N0372</t>
  </si>
  <si>
    <t>N0373</t>
  </si>
  <si>
    <t>N0374</t>
  </si>
  <si>
    <t>N0375</t>
  </si>
  <si>
    <t>N0376</t>
  </si>
  <si>
    <t>N0377</t>
  </si>
  <si>
    <t>N0378</t>
  </si>
  <si>
    <t>N0379</t>
  </si>
  <si>
    <t>N0380</t>
  </si>
  <si>
    <t>N0381</t>
  </si>
  <si>
    <t>N0382</t>
  </si>
  <si>
    <t>N0383</t>
  </si>
  <si>
    <t>N0384</t>
  </si>
  <si>
    <t>N0385</t>
  </si>
  <si>
    <t>N0386</t>
  </si>
  <si>
    <t>N0387</t>
  </si>
  <si>
    <t>N0388</t>
  </si>
  <si>
    <t>N0389</t>
  </si>
  <si>
    <t>N0390</t>
  </si>
  <si>
    <t>N0391</t>
  </si>
  <si>
    <t>N0392</t>
  </si>
  <si>
    <t>N0393</t>
  </si>
  <si>
    <t>N0394</t>
  </si>
  <si>
    <t>N0395</t>
  </si>
  <si>
    <t>N0396</t>
  </si>
  <si>
    <t>N0397</t>
  </si>
  <si>
    <t>N0398</t>
  </si>
  <si>
    <t>N0399</t>
  </si>
  <si>
    <t>N0400</t>
  </si>
  <si>
    <t>N0401</t>
  </si>
  <si>
    <t>N0402</t>
  </si>
  <si>
    <t>N0403</t>
  </si>
  <si>
    <t>N0404</t>
  </si>
  <si>
    <t>N0405</t>
  </si>
  <si>
    <t>N0406</t>
  </si>
  <si>
    <t>N0407</t>
  </si>
  <si>
    <t>N0408</t>
  </si>
  <si>
    <t>N0409</t>
  </si>
  <si>
    <t>N0410</t>
  </si>
  <si>
    <t>N0411</t>
  </si>
  <si>
    <t>N0412</t>
  </si>
  <si>
    <t>N0413</t>
  </si>
  <si>
    <t>N0414</t>
  </si>
  <si>
    <t>N0415</t>
  </si>
  <si>
    <t>N0416</t>
  </si>
  <si>
    <t>N0417</t>
  </si>
  <si>
    <t>N0418</t>
  </si>
  <si>
    <t>N0419</t>
  </si>
  <si>
    <t>N0420</t>
  </si>
  <si>
    <t>N0421</t>
  </si>
  <si>
    <t>N0422</t>
  </si>
  <si>
    <t>N0423</t>
  </si>
  <si>
    <t>N0424</t>
  </si>
  <si>
    <t>N0425</t>
  </si>
  <si>
    <t>N0426</t>
  </si>
  <si>
    <t>N0427</t>
  </si>
  <si>
    <t>N0428</t>
  </si>
  <si>
    <t>N0429</t>
  </si>
  <si>
    <t>N0430</t>
  </si>
  <si>
    <t>N0431</t>
  </si>
  <si>
    <t>N0432</t>
  </si>
  <si>
    <t>N0433</t>
  </si>
  <si>
    <t>N0434</t>
  </si>
  <si>
    <t>N0435</t>
  </si>
  <si>
    <t>N0436</t>
  </si>
  <si>
    <t>N0437</t>
  </si>
  <si>
    <t>N0438</t>
  </si>
  <si>
    <t>N0439</t>
  </si>
  <si>
    <t>N0440</t>
  </si>
  <si>
    <t>N0441</t>
  </si>
  <si>
    <t>N0442</t>
  </si>
  <si>
    <t>N0443</t>
  </si>
  <si>
    <t>N0444</t>
  </si>
  <si>
    <t>N0445</t>
  </si>
  <si>
    <t>N0446</t>
  </si>
  <si>
    <t>N0447</t>
  </si>
  <si>
    <t>N0448</t>
  </si>
  <si>
    <t>N0449</t>
  </si>
  <si>
    <t>N0450</t>
  </si>
  <si>
    <t>N0451</t>
  </si>
  <si>
    <t>N0452</t>
  </si>
  <si>
    <t>N0453</t>
  </si>
  <si>
    <t>N0454</t>
  </si>
  <si>
    <t>N0455</t>
  </si>
  <si>
    <t>N0456</t>
  </si>
  <si>
    <t>N0457</t>
  </si>
  <si>
    <t>N0458</t>
  </si>
  <si>
    <t>N0459</t>
  </si>
  <si>
    <t>N0460</t>
  </si>
  <si>
    <t>N0461</t>
  </si>
  <si>
    <t>N0462</t>
  </si>
  <si>
    <t>N0463</t>
  </si>
  <si>
    <t>N0464</t>
  </si>
  <si>
    <t>N0465</t>
  </si>
  <si>
    <t>N0466</t>
  </si>
  <si>
    <t>N0467</t>
  </si>
  <si>
    <t>N0468</t>
  </si>
  <si>
    <t>N0469</t>
  </si>
  <si>
    <t>N0470</t>
  </si>
  <si>
    <t>N0471</t>
  </si>
  <si>
    <t>N0472</t>
  </si>
  <si>
    <t>N0473</t>
  </si>
  <si>
    <t>N0474</t>
  </si>
  <si>
    <t>N0475</t>
  </si>
  <si>
    <t>N0476</t>
  </si>
  <si>
    <t>N0477</t>
  </si>
  <si>
    <t>N0478</t>
  </si>
  <si>
    <t>N0479</t>
  </si>
  <si>
    <t>N0480</t>
  </si>
  <si>
    <t>N0481</t>
  </si>
  <si>
    <t>N0482</t>
  </si>
  <si>
    <t>N0483</t>
  </si>
  <si>
    <t>N0484</t>
  </si>
  <si>
    <t>N0485</t>
  </si>
  <si>
    <t>N0486</t>
  </si>
  <si>
    <t>N0487</t>
  </si>
  <si>
    <t>N0488</t>
  </si>
  <si>
    <t>N0489</t>
  </si>
  <si>
    <t>N0490</t>
  </si>
  <si>
    <t>N0491</t>
  </si>
  <si>
    <t>N0492</t>
  </si>
  <si>
    <t>N0493</t>
  </si>
  <si>
    <t>N0494</t>
  </si>
  <si>
    <t>N0495</t>
  </si>
  <si>
    <t>N0496</t>
  </si>
  <si>
    <t>N0497</t>
  </si>
  <si>
    <t>N0498</t>
  </si>
  <si>
    <t>N0499</t>
  </si>
  <si>
    <t>N0500</t>
  </si>
  <si>
    <t>N0501</t>
  </si>
  <si>
    <t>N0502</t>
  </si>
  <si>
    <t>N0503</t>
  </si>
  <si>
    <t>N0504</t>
  </si>
  <si>
    <t>N0505</t>
  </si>
  <si>
    <t>N0506</t>
  </si>
  <si>
    <t>N0507</t>
  </si>
  <si>
    <t>N0508</t>
  </si>
  <si>
    <t>N0509</t>
  </si>
  <si>
    <t>N0510</t>
  </si>
  <si>
    <t>N0511</t>
  </si>
  <si>
    <t>N0512</t>
  </si>
  <si>
    <t>N0513</t>
  </si>
  <si>
    <t>N0514</t>
  </si>
  <si>
    <t>N0515</t>
  </si>
  <si>
    <t>N0516</t>
  </si>
  <si>
    <t>N0517</t>
  </si>
  <si>
    <t>N0518</t>
  </si>
  <si>
    <t>N0519</t>
  </si>
  <si>
    <t>N0520</t>
  </si>
  <si>
    <t>N0521</t>
  </si>
  <si>
    <t>N0522</t>
  </si>
  <si>
    <t>N0523</t>
  </si>
  <si>
    <t>N0524</t>
  </si>
  <si>
    <t>N0525</t>
  </si>
  <si>
    <t>N0526</t>
  </si>
  <si>
    <t>N0527</t>
  </si>
  <si>
    <t>N0528</t>
  </si>
  <si>
    <t>N0529</t>
  </si>
  <si>
    <t>N0530</t>
  </si>
  <si>
    <t>N0531</t>
  </si>
  <si>
    <t>N0532</t>
  </si>
  <si>
    <t>N0533</t>
  </si>
  <si>
    <t>N0534</t>
  </si>
  <si>
    <t>N0535</t>
  </si>
  <si>
    <t>N0536</t>
  </si>
  <si>
    <t>N0537</t>
  </si>
  <si>
    <t>N0538</t>
  </si>
  <si>
    <t>N0539</t>
  </si>
  <si>
    <t>N0540</t>
  </si>
  <si>
    <t>N0541</t>
  </si>
  <si>
    <t>N0542</t>
  </si>
  <si>
    <t>N0543</t>
  </si>
  <si>
    <t>N0544</t>
  </si>
  <si>
    <t>N0545</t>
  </si>
  <si>
    <t>N0546</t>
  </si>
  <si>
    <t>N0547</t>
  </si>
  <si>
    <t>N0548</t>
  </si>
  <si>
    <t>N0549</t>
  </si>
  <si>
    <t>N0550</t>
  </si>
  <si>
    <t>N0551</t>
  </si>
  <si>
    <t>N0552</t>
  </si>
  <si>
    <t>N0553</t>
  </si>
  <si>
    <t>N0554</t>
  </si>
  <si>
    <t>N0555</t>
  </si>
  <si>
    <t>N0556</t>
  </si>
  <si>
    <t>N0557</t>
  </si>
  <si>
    <t>N0558</t>
  </si>
  <si>
    <t>N0559</t>
  </si>
  <si>
    <t>N0560</t>
  </si>
  <si>
    <t>N0561</t>
  </si>
  <si>
    <t>N0562</t>
  </si>
  <si>
    <t>N0563</t>
  </si>
  <si>
    <t>N0564</t>
  </si>
  <si>
    <t>N0565</t>
  </si>
  <si>
    <t>N0566</t>
  </si>
  <si>
    <t>N0567</t>
  </si>
  <si>
    <t>N0568</t>
  </si>
  <si>
    <t>N0569</t>
  </si>
  <si>
    <t>N0570</t>
  </si>
  <si>
    <t>N0571</t>
  </si>
  <si>
    <t>N0572</t>
  </si>
  <si>
    <t>N0573</t>
  </si>
  <si>
    <t>N0574</t>
  </si>
  <si>
    <t>N0575</t>
  </si>
  <si>
    <t>N0576</t>
  </si>
  <si>
    <t>N0577</t>
  </si>
  <si>
    <t>N0578</t>
  </si>
  <si>
    <t>N0579</t>
  </si>
  <si>
    <t>N0580</t>
  </si>
  <si>
    <t>N0581</t>
  </si>
  <si>
    <t>N0582</t>
  </si>
  <si>
    <t>N0583</t>
  </si>
  <si>
    <t>N0584</t>
  </si>
  <si>
    <t>N0585</t>
  </si>
  <si>
    <t>N0586</t>
  </si>
  <si>
    <t>N0587</t>
  </si>
  <si>
    <t>N0588</t>
  </si>
  <si>
    <t>N0589</t>
  </si>
  <si>
    <t>N0590</t>
  </si>
  <si>
    <t>N0591</t>
  </si>
  <si>
    <t>N0592</t>
  </si>
  <si>
    <t>N0593</t>
  </si>
  <si>
    <t>N0594</t>
  </si>
  <si>
    <t>N0595</t>
  </si>
  <si>
    <t>N0596</t>
  </si>
  <si>
    <t>N0597</t>
  </si>
  <si>
    <t>N0598</t>
  </si>
  <si>
    <t>N0599</t>
  </si>
  <si>
    <t>N0600</t>
  </si>
  <si>
    <t>N0601</t>
  </si>
  <si>
    <t>N0602</t>
  </si>
  <si>
    <t>N0603</t>
  </si>
  <si>
    <t>N0604</t>
  </si>
  <si>
    <t>N0605</t>
  </si>
  <si>
    <t>N0606</t>
  </si>
  <si>
    <t>N0607</t>
  </si>
  <si>
    <t>N0608</t>
  </si>
  <si>
    <t>N0609</t>
  </si>
  <si>
    <t>N0610</t>
  </si>
  <si>
    <t>N0611</t>
  </si>
  <si>
    <t>N0612</t>
  </si>
  <si>
    <t>N0613</t>
  </si>
  <si>
    <t>N0614</t>
  </si>
  <si>
    <t>N0615</t>
  </si>
  <si>
    <t>N0616</t>
  </si>
  <si>
    <t>N0617</t>
  </si>
  <si>
    <t>N0618</t>
  </si>
  <si>
    <t>N0619</t>
  </si>
  <si>
    <t>N0620</t>
  </si>
  <si>
    <t>N0621</t>
  </si>
  <si>
    <t>N0622</t>
  </si>
  <si>
    <t>N0623</t>
  </si>
  <si>
    <t>N0624</t>
  </si>
  <si>
    <t>N0625</t>
  </si>
  <si>
    <t>N0626</t>
  </si>
  <si>
    <t>N0627</t>
  </si>
  <si>
    <t>N0628</t>
  </si>
  <si>
    <t>N0629</t>
  </si>
  <si>
    <t>N0630</t>
  </si>
  <si>
    <t>N0631</t>
  </si>
  <si>
    <t>N0632</t>
  </si>
  <si>
    <t>N0633</t>
  </si>
  <si>
    <t>N0634</t>
  </si>
  <si>
    <t>N0635</t>
  </si>
  <si>
    <t>N0636</t>
  </si>
  <si>
    <t>N0637</t>
  </si>
  <si>
    <t>N0638</t>
  </si>
  <si>
    <t>N0639</t>
  </si>
  <si>
    <t>N0640</t>
  </si>
  <si>
    <t>N0641</t>
  </si>
  <si>
    <t>N0642</t>
  </si>
  <si>
    <t>N0643</t>
  </si>
  <si>
    <t>N0644</t>
  </si>
  <si>
    <t>N0645</t>
  </si>
  <si>
    <t>N0646</t>
  </si>
  <si>
    <t>N0647</t>
  </si>
  <si>
    <t>N0648</t>
  </si>
  <si>
    <t>N0649</t>
  </si>
  <si>
    <t>N0650</t>
  </si>
  <si>
    <t>N0651</t>
  </si>
  <si>
    <t>N0652</t>
  </si>
  <si>
    <t>N0653</t>
  </si>
  <si>
    <t>N0654</t>
  </si>
  <si>
    <t>N0655</t>
  </si>
  <si>
    <t>N0656</t>
  </si>
  <si>
    <t>N0657</t>
  </si>
  <si>
    <t>N0658</t>
  </si>
  <si>
    <t>N0659</t>
  </si>
  <si>
    <t>N0660</t>
  </si>
  <si>
    <t>N0661</t>
  </si>
  <si>
    <t>N0662</t>
  </si>
  <si>
    <t>N0663</t>
  </si>
  <si>
    <t>N0664</t>
  </si>
  <si>
    <t>N0665</t>
  </si>
  <si>
    <t>N0666</t>
  </si>
  <si>
    <t>N0667</t>
  </si>
  <si>
    <t>N0668</t>
  </si>
  <si>
    <t>N0669</t>
  </si>
  <si>
    <t>N0670</t>
  </si>
  <si>
    <t>N0671</t>
  </si>
  <si>
    <t>N0672</t>
  </si>
  <si>
    <t>N0673</t>
  </si>
  <si>
    <t>N0674</t>
  </si>
  <si>
    <t>N0675</t>
  </si>
  <si>
    <t>N0676</t>
  </si>
  <si>
    <t>N0677</t>
  </si>
  <si>
    <t>N0678</t>
  </si>
  <si>
    <t>N0679</t>
  </si>
  <si>
    <t>N0680</t>
  </si>
  <si>
    <t>N0681</t>
  </si>
  <si>
    <t>N0682</t>
  </si>
  <si>
    <t>N0683</t>
  </si>
  <si>
    <t>N0684</t>
  </si>
  <si>
    <t>N0685</t>
  </si>
  <si>
    <t>N0686</t>
  </si>
  <si>
    <t>N0687</t>
  </si>
  <si>
    <t>N0688</t>
  </si>
  <si>
    <t>N0689</t>
  </si>
  <si>
    <t>N0690</t>
  </si>
  <si>
    <t>N0691</t>
  </si>
  <si>
    <t>N0692</t>
  </si>
  <si>
    <t>N0693</t>
  </si>
  <si>
    <t>N0694</t>
  </si>
  <si>
    <t>N0695</t>
  </si>
  <si>
    <t>N0696</t>
  </si>
  <si>
    <t>N0697</t>
  </si>
  <si>
    <t>N0698</t>
  </si>
  <si>
    <t>N0699</t>
  </si>
  <si>
    <t>N0700</t>
  </si>
  <si>
    <t>N0701</t>
  </si>
  <si>
    <t>N0702</t>
  </si>
  <si>
    <t>N0703</t>
  </si>
  <si>
    <t>N0704</t>
  </si>
  <si>
    <t>N0705</t>
  </si>
  <si>
    <t>N0706</t>
  </si>
  <si>
    <t>N0707</t>
  </si>
  <si>
    <t>N0708</t>
  </si>
  <si>
    <t>N0709</t>
  </si>
  <si>
    <t>N0710</t>
  </si>
  <si>
    <t>N0711</t>
  </si>
  <si>
    <t>N0712</t>
  </si>
  <si>
    <t>N0713</t>
  </si>
  <si>
    <t>N0714</t>
  </si>
  <si>
    <t>N0715</t>
  </si>
  <si>
    <t>N0716</t>
  </si>
  <si>
    <t>N0717</t>
  </si>
  <si>
    <t>N0718</t>
  </si>
  <si>
    <t>N0719</t>
  </si>
  <si>
    <t>N0720</t>
  </si>
  <si>
    <t>N0721</t>
  </si>
  <si>
    <t>N0722</t>
  </si>
  <si>
    <t>N0723</t>
  </si>
  <si>
    <t>N0724</t>
  </si>
  <si>
    <t>N0725</t>
  </si>
  <si>
    <t>N0726</t>
  </si>
  <si>
    <t>N0727</t>
  </si>
  <si>
    <t>N0728</t>
  </si>
  <si>
    <t>N0729</t>
  </si>
  <si>
    <t>N0730</t>
  </si>
  <si>
    <t>N0731</t>
  </si>
  <si>
    <t>N0732</t>
  </si>
  <si>
    <t>N0733</t>
  </si>
  <si>
    <t>N0734</t>
  </si>
  <si>
    <t>N0735</t>
  </si>
  <si>
    <t>N0736</t>
  </si>
  <si>
    <t>N0737</t>
  </si>
  <si>
    <t>N0738</t>
  </si>
  <si>
    <t>N0739</t>
  </si>
  <si>
    <t>N0740</t>
  </si>
  <si>
    <t>N0741</t>
  </si>
  <si>
    <t>N0742</t>
  </si>
  <si>
    <t>N0743</t>
  </si>
  <si>
    <t>N0744</t>
  </si>
  <si>
    <t>N0745</t>
  </si>
  <si>
    <t>N0746</t>
  </si>
  <si>
    <t>N0747</t>
  </si>
  <si>
    <t>N0748</t>
  </si>
  <si>
    <t>N0749</t>
  </si>
  <si>
    <t>N0750</t>
  </si>
  <si>
    <t>N0751</t>
  </si>
  <si>
    <t>N0752</t>
  </si>
  <si>
    <t>N0753</t>
  </si>
  <si>
    <t>N0754</t>
  </si>
  <si>
    <t>N0755</t>
  </si>
  <si>
    <t>N0756</t>
  </si>
  <si>
    <t>N0757</t>
  </si>
  <si>
    <t>N0758</t>
  </si>
  <si>
    <t>N0759</t>
  </si>
  <si>
    <t>N0760</t>
  </si>
  <si>
    <t>N0761</t>
  </si>
  <si>
    <t>N0762</t>
  </si>
  <si>
    <t>N0763</t>
  </si>
  <si>
    <t>N0764</t>
  </si>
  <si>
    <t>N0765</t>
  </si>
  <si>
    <t>N0766</t>
  </si>
  <si>
    <t>N0767</t>
  </si>
  <si>
    <t>N0768</t>
  </si>
  <si>
    <t>N0769</t>
  </si>
  <si>
    <t>N0770</t>
  </si>
  <si>
    <t>N0771</t>
  </si>
  <si>
    <t>N0772</t>
  </si>
  <si>
    <t>N0773</t>
  </si>
  <si>
    <t>N0774</t>
  </si>
  <si>
    <t>N0775</t>
  </si>
  <si>
    <t>N0776</t>
  </si>
  <si>
    <t>N0777</t>
  </si>
  <si>
    <t>N0778</t>
  </si>
  <si>
    <t>N0779</t>
  </si>
  <si>
    <t>N0780</t>
  </si>
  <si>
    <t>N0781</t>
  </si>
  <si>
    <t>N0782</t>
  </si>
  <si>
    <t>N0783</t>
  </si>
  <si>
    <t>N0784</t>
  </si>
  <si>
    <t>N0785</t>
  </si>
  <si>
    <t>N0786</t>
  </si>
  <si>
    <t>N0787</t>
  </si>
  <si>
    <t>N0788</t>
  </si>
  <si>
    <t>N0789</t>
  </si>
  <si>
    <t>N0790</t>
  </si>
  <si>
    <t>N0791</t>
  </si>
  <si>
    <t>N0792</t>
  </si>
  <si>
    <t>N0793</t>
  </si>
  <si>
    <t>N0794</t>
  </si>
  <si>
    <t>N0795</t>
  </si>
  <si>
    <t>N0796</t>
  </si>
  <si>
    <t>N0797</t>
  </si>
  <si>
    <t>N0798</t>
  </si>
  <si>
    <t>N0799</t>
  </si>
  <si>
    <t>N0800</t>
  </si>
  <si>
    <t>N0801</t>
  </si>
  <si>
    <t>N0802</t>
  </si>
  <si>
    <t>N0803</t>
  </si>
  <si>
    <t>N0804</t>
  </si>
  <si>
    <t>N0805</t>
  </si>
  <si>
    <t>N0806</t>
  </si>
  <si>
    <t>N0807</t>
  </si>
  <si>
    <t>N0808</t>
  </si>
  <si>
    <t>N0809</t>
  </si>
  <si>
    <t>N0810</t>
  </si>
  <si>
    <t>N0811</t>
  </si>
  <si>
    <t>N0812</t>
  </si>
  <si>
    <t>N0813</t>
  </si>
  <si>
    <t>N0814</t>
  </si>
  <si>
    <t>N0815</t>
  </si>
  <si>
    <t>N0816</t>
  </si>
  <si>
    <t>N0817</t>
  </si>
  <si>
    <t>N0818</t>
  </si>
  <si>
    <t>N0819</t>
  </si>
  <si>
    <t>N0820</t>
  </si>
  <si>
    <t>N0821</t>
  </si>
  <si>
    <t>N0822</t>
  </si>
  <si>
    <t>N0823</t>
  </si>
  <si>
    <t>N0824</t>
  </si>
  <si>
    <t>N0825</t>
  </si>
  <si>
    <t>N0826</t>
  </si>
  <si>
    <t>N0827</t>
  </si>
  <si>
    <t>N0828</t>
  </si>
  <si>
    <t>N0829</t>
  </si>
  <si>
    <t>N0830</t>
  </si>
  <si>
    <t>N0831</t>
  </si>
  <si>
    <t>N0832</t>
  </si>
  <si>
    <t>N0833</t>
  </si>
  <si>
    <t>N0834</t>
  </si>
  <si>
    <t>N0835</t>
  </si>
  <si>
    <t>N0836</t>
  </si>
  <si>
    <t>N0837</t>
  </si>
  <si>
    <t>N0838</t>
  </si>
  <si>
    <t>N0839</t>
  </si>
  <si>
    <t>N0840</t>
  </si>
  <si>
    <t>N0841</t>
  </si>
  <si>
    <t>N0842</t>
  </si>
  <si>
    <t>N0843</t>
  </si>
  <si>
    <t>N0844</t>
  </si>
  <si>
    <t>N0845</t>
  </si>
  <si>
    <t>N0846</t>
  </si>
  <si>
    <t>N0847</t>
  </si>
  <si>
    <t>N0848</t>
  </si>
  <si>
    <t>N0849</t>
  </si>
  <si>
    <t>N0850</t>
  </si>
  <si>
    <t>N0851</t>
  </si>
  <si>
    <t>N0852</t>
  </si>
  <si>
    <t>N0853</t>
  </si>
  <si>
    <t>N0854</t>
  </si>
  <si>
    <t>N0855</t>
  </si>
  <si>
    <t>N0856</t>
  </si>
  <si>
    <t>N0857</t>
  </si>
  <si>
    <t>N0858</t>
  </si>
  <si>
    <t>N0859</t>
  </si>
  <si>
    <t>N0860</t>
  </si>
  <si>
    <t>N0861</t>
  </si>
  <si>
    <t>N0862</t>
  </si>
  <si>
    <t>N0863</t>
  </si>
  <si>
    <t>N0864</t>
  </si>
  <si>
    <t>N0865</t>
  </si>
  <si>
    <t>N0866</t>
  </si>
  <si>
    <t>N0867</t>
  </si>
  <si>
    <t>N0868</t>
  </si>
  <si>
    <t>N0869</t>
  </si>
  <si>
    <t>N0870</t>
  </si>
  <si>
    <t>N0871</t>
  </si>
  <si>
    <t>N0872</t>
  </si>
  <si>
    <t>N0873</t>
  </si>
  <si>
    <t>N0874</t>
  </si>
  <si>
    <t>N0875</t>
  </si>
  <si>
    <t>N0876</t>
  </si>
  <si>
    <t>N0877</t>
  </si>
  <si>
    <t>N0878</t>
  </si>
  <si>
    <t>N0879</t>
  </si>
  <si>
    <t>N0880</t>
  </si>
  <si>
    <t>N0881</t>
  </si>
  <si>
    <t>N0882</t>
  </si>
  <si>
    <t>N0883</t>
  </si>
  <si>
    <t>N0884</t>
  </si>
  <si>
    <t>N0885</t>
  </si>
  <si>
    <t>N0886</t>
  </si>
  <si>
    <t>N0887</t>
  </si>
  <si>
    <t>N0888</t>
  </si>
  <si>
    <t>N0889</t>
  </si>
  <si>
    <t>N0890</t>
  </si>
  <si>
    <t>N0891</t>
  </si>
  <si>
    <t>N0892</t>
  </si>
  <si>
    <t>N0893</t>
  </si>
  <si>
    <t>N0894</t>
  </si>
  <si>
    <t>N0895</t>
  </si>
  <si>
    <t>N0896</t>
  </si>
  <si>
    <t>N0897</t>
  </si>
  <si>
    <t>N0898</t>
  </si>
  <si>
    <t>N0899</t>
  </si>
  <si>
    <t>N0900</t>
  </si>
  <si>
    <t>N0901</t>
  </si>
  <si>
    <t>N0902</t>
  </si>
  <si>
    <t>N0903</t>
  </si>
  <si>
    <t>N0904</t>
  </si>
  <si>
    <t>N0905</t>
  </si>
  <si>
    <t>N0906</t>
  </si>
  <si>
    <t>N0907</t>
  </si>
  <si>
    <t>N0908</t>
  </si>
  <si>
    <t>N0909</t>
  </si>
  <si>
    <t>N0910</t>
  </si>
  <si>
    <t>N0911</t>
  </si>
  <si>
    <t>N0912</t>
  </si>
  <si>
    <t>N0913</t>
  </si>
  <si>
    <t>N0914</t>
  </si>
  <si>
    <t>N0915</t>
  </si>
  <si>
    <t>N0916</t>
  </si>
  <si>
    <t>N0917</t>
  </si>
  <si>
    <t>N0918</t>
  </si>
  <si>
    <t>N0919</t>
  </si>
  <si>
    <t>N0920</t>
  </si>
  <si>
    <t>N0921</t>
  </si>
  <si>
    <t>N0922</t>
  </si>
  <si>
    <t>N0923</t>
  </si>
  <si>
    <t>N0924</t>
  </si>
  <si>
    <t>N0925</t>
  </si>
  <si>
    <t>N0926</t>
  </si>
  <si>
    <t>N0927</t>
  </si>
  <si>
    <t>N0928</t>
  </si>
  <si>
    <t>N0929</t>
  </si>
  <si>
    <t>N0930</t>
  </si>
  <si>
    <t>N0931</t>
  </si>
  <si>
    <t>N0932</t>
  </si>
  <si>
    <t>N0933</t>
  </si>
  <si>
    <t>N0934</t>
  </si>
  <si>
    <t>N0935</t>
  </si>
  <si>
    <t>N0936</t>
  </si>
  <si>
    <t>N0937</t>
  </si>
  <si>
    <t>N0938</t>
  </si>
  <si>
    <t>N0939</t>
  </si>
  <si>
    <t>N0940</t>
  </si>
  <si>
    <t>N0941</t>
  </si>
  <si>
    <t>N0942</t>
  </si>
  <si>
    <t>N0943</t>
  </si>
  <si>
    <t>N0944</t>
  </si>
  <si>
    <t>N0945</t>
  </si>
  <si>
    <t>N0946</t>
  </si>
  <si>
    <t>N0947</t>
  </si>
  <si>
    <t>N0948</t>
  </si>
  <si>
    <t>N0949</t>
  </si>
  <si>
    <t>N0950</t>
  </si>
  <si>
    <t>N0951</t>
  </si>
  <si>
    <t>N0952</t>
  </si>
  <si>
    <t>N0953</t>
  </si>
  <si>
    <t>N0954</t>
  </si>
  <si>
    <t>N0955</t>
  </si>
  <si>
    <t>N0956</t>
  </si>
  <si>
    <t>N0957</t>
  </si>
  <si>
    <t>N0958</t>
  </si>
  <si>
    <t>N0959</t>
  </si>
  <si>
    <t>N0960</t>
  </si>
  <si>
    <t>N0961</t>
  </si>
  <si>
    <t>N0962</t>
  </si>
  <si>
    <t>N0963</t>
  </si>
  <si>
    <t>N0964</t>
  </si>
  <si>
    <t>N0965</t>
  </si>
  <si>
    <t>N0966</t>
  </si>
  <si>
    <t>N0967</t>
  </si>
  <si>
    <t>N0968</t>
  </si>
  <si>
    <t>N0969</t>
  </si>
  <si>
    <t>N0970</t>
  </si>
  <si>
    <t>N0971</t>
  </si>
  <si>
    <t>N0972</t>
  </si>
  <si>
    <t>N0973</t>
  </si>
  <si>
    <t>N0974</t>
  </si>
  <si>
    <t>N0975</t>
  </si>
  <si>
    <t>N0976</t>
  </si>
  <si>
    <t>N0977</t>
  </si>
  <si>
    <t>N0978</t>
  </si>
  <si>
    <t>N0979</t>
  </si>
  <si>
    <t>N0980</t>
  </si>
  <si>
    <t>N0981</t>
  </si>
  <si>
    <t>N0982</t>
  </si>
  <si>
    <t>N0983</t>
  </si>
  <si>
    <t>N0984</t>
  </si>
  <si>
    <t>N0985</t>
  </si>
  <si>
    <t>N0986</t>
  </si>
  <si>
    <t>N0987</t>
  </si>
  <si>
    <t>N0988</t>
  </si>
  <si>
    <t>N0989</t>
  </si>
  <si>
    <t>N0990</t>
  </si>
  <si>
    <t>N0991</t>
  </si>
  <si>
    <t>N0992</t>
  </si>
  <si>
    <t>N0993</t>
  </si>
  <si>
    <t>N0994</t>
  </si>
  <si>
    <t>N0995</t>
  </si>
  <si>
    <t>N0996</t>
  </si>
  <si>
    <t>N0997</t>
  </si>
  <si>
    <t>N0998</t>
  </si>
  <si>
    <t>N0999</t>
  </si>
  <si>
    <t>N1000</t>
  </si>
  <si>
    <t>KAMUS VARIABEL — SIMULASI 1.000 NASABAH</t>
  </si>
  <si>
    <t>Studi kasus: Prediksi nasabah berlangganan deposito berjangka (dataset sintetis).</t>
  </si>
  <si>
    <t>Peran</t>
  </si>
  <si>
    <t>Nama Kolom</t>
  </si>
  <si>
    <t>Jenis Data</t>
  </si>
  <si>
    <t>Rentang / Kategori</t>
  </si>
  <si>
    <t>Keterangan</t>
  </si>
  <si>
    <t>ID</t>
  </si>
  <si>
    <t>Teks</t>
  </si>
  <si>
    <t>N0001–N1000</t>
  </si>
  <si>
    <t>Pengenal unik, tidak digunakan sebagai prediktor.</t>
  </si>
  <si>
    <t>X1</t>
  </si>
  <si>
    <t>Numerik (integer)</t>
  </si>
  <si>
    <t>21–70 tahun</t>
  </si>
  <si>
    <t>Usia nasabah saat observasi.</t>
  </si>
  <si>
    <t>X2</t>
  </si>
  <si>
    <t>Numerik (Rp)</t>
  </si>
  <si>
    <t>1.800.000–23.000.000</t>
  </si>
  <si>
    <t>Estimasi penghasilan bulanan nasabah.</t>
  </si>
  <si>
    <t>X3</t>
  </si>
  <si>
    <t>1.200.000–155.000.000</t>
  </si>
  <si>
    <t>Saldo tabungan pada saat observasi.</t>
  </si>
  <si>
    <t>X4</t>
  </si>
  <si>
    <t>Kategori</t>
  </si>
  <si>
    <t>Karyawan | PNS | Wiraswasta | Pensiunan</t>
  </si>
  <si>
    <t>Jenis pekerjaan; perlu encoding untuk model.</t>
  </si>
  <si>
    <t>X5</t>
  </si>
  <si>
    <t>Biner (teks)</t>
  </si>
  <si>
    <t>Ya | Tidak</t>
  </si>
  <si>
    <t>Apakah nasabah memiliki pinjaman.</t>
  </si>
  <si>
    <t>X6</t>
  </si>
  <si>
    <t>Kontak pada kampanye sebelumnya (bukan panggilan saat ini).</t>
  </si>
  <si>
    <t>Y</t>
  </si>
  <si>
    <t>Biner (angka)</t>
  </si>
  <si>
    <t>0 = Tidak | 1 = Ya</t>
  </si>
  <si>
    <t>Target klasifikasi yang diprediksi model.</t>
  </si>
  <si>
    <t>Catatan: Korelasi dan probabilitas pada data dibentuk secara sintetis; hasilnya bukan bukti empiris dunia nyata.</t>
  </si>
  <si>
    <t>RINGKASAN DATA SIMULASI</t>
  </si>
  <si>
    <t>Regresi Logistik Biner • Prediksi Keputusan Berlangganan Deposito</t>
  </si>
  <si>
    <t>Ukuran dataset</t>
  </si>
  <si>
    <t>Nilai</t>
  </si>
  <si>
    <t>Total nasabah</t>
  </si>
  <si>
    <t>Berlangganan (Y=1)</t>
  </si>
  <si>
    <t>Tidak berlangganan (Y=0)</t>
  </si>
  <si>
    <t>Proporsi berlangganan</t>
  </si>
  <si>
    <t>Usia minimum</t>
  </si>
  <si>
    <t>Usia maksimum</t>
  </si>
  <si>
    <t>Usia rata-rata</t>
  </si>
  <si>
    <t>Penghasilan bulanan rata-rata (Rp)</t>
  </si>
  <si>
    <t>Saldo tabungan rata-rata (Rp)</t>
  </si>
  <si>
    <t>PERHATIAN: semua catatan merupakan data simulasi, bukan data riil dan tidak boleh ditafsirkan sebagai hasil survei bank.</t>
  </si>
  <si>
    <t>PANDUAN PRAKTIKUM PYTHON STREAMLIT</t>
  </si>
  <si>
    <t>Langkah</t>
  </si>
  <si>
    <t>Petunjuk</t>
  </si>
  <si>
    <t>1</t>
  </si>
  <si>
    <t>Unggah file CSV atau lembar Data_Simulasi dari Excel ke aplikasi Streamlit.</t>
  </si>
  <si>
    <t>2</t>
  </si>
  <si>
    <t>Pilih Berlangganan_Deposito sebagai target (Y), dengan kelas 0 = Tidak dan kelas 1 = Ya.</t>
  </si>
  <si>
    <t>3</t>
  </si>
  <si>
    <t>Jangan masukkan ID_Nasabah sebagai variabel independen atau prediktor.</t>
  </si>
  <si>
    <t>4</t>
  </si>
  <si>
    <t>Gunakan Usia, Penghasilan_Bulanan, Saldo_Tabungan sebagai prediktor numerik.</t>
  </si>
  <si>
    <t>5</t>
  </si>
  <si>
    <t>Gunakan Pekerjaan, Memiliki_Pinjaman, Pernah_Dihubungi sebagai prediktor kategorik.</t>
  </si>
  <si>
    <t>6</t>
  </si>
  <si>
    <t>Bagi data menjadi training/testing secara stratified; fit preprocessing hanya pada data training.</t>
  </si>
  <si>
    <t>7</t>
  </si>
  <si>
    <t>Lakukan scaling numerik dan one-hot encoding kategori dalam Pipeline.</t>
  </si>
  <si>
    <t>8</t>
  </si>
  <si>
    <t>Latih Logistic Regression lalu evaluasi confusion matrix, accuracy, precision, recall, F1, ROC-AUC.</t>
  </si>
  <si>
    <t>9</t>
  </si>
  <si>
    <t>Sediakan prediksi nasabah baru beserta probabilitas dan pengaturan threshold klasifikasi.</t>
  </si>
  <si>
    <t>Reproduksibilitas: angka acak dibangkitkan menggunakan seed 20261024; target dibentuk dari probabilitas logistik, bukan aturan deterministik.</t>
  </si>
  <si>
    <t>Kategori Y</t>
  </si>
  <si>
    <t>Training (n)</t>
  </si>
  <si>
    <t>Training (%)</t>
  </si>
  <si>
    <t>Testing (n)</t>
  </si>
  <si>
    <t>Testing (%)</t>
  </si>
  <si>
    <t>0 (Tidak)</t>
  </si>
  <si>
    <t>1 (Ya)</t>
  </si>
  <si>
    <t>Total</t>
  </si>
  <si>
    <t>Variabel Model</t>
  </si>
  <si>
    <t>Koefisien (β)</t>
  </si>
  <si>
    <t>Konstanta</t>
  </si>
  <si>
    <t>Usia (tahun)</t>
  </si>
  <si>
    <t>Penghasilan (juta Rp)</t>
  </si>
  <si>
    <t>Saldo Tabungan (juta Rp)</t>
  </si>
  <si>
    <t>Pekerjaan: PNS</t>
  </si>
  <si>
    <t>Pekerjaan: Wiraswasta</t>
  </si>
  <si>
    <t>Pekerjaan: Pensiunan</t>
  </si>
  <si>
    <t>Memiliki Pinjaman: Ya</t>
  </si>
  <si>
    <t>Pernah Dihubungi: Ya</t>
  </si>
  <si>
    <t>Variabel</t>
  </si>
  <si>
    <t>Karakteristik Nasabah</t>
  </si>
  <si>
    <t>45 tahun</t>
  </si>
  <si>
    <t>Penghasilan Bulanan</t>
  </si>
  <si>
    <t>Rp10.000.000</t>
  </si>
  <si>
    <t>Saldo Tabungan</t>
  </si>
  <si>
    <t>Rp50.000.000</t>
  </si>
  <si>
    <t>Memiliki Pinjaman</t>
  </si>
  <si>
    <t>Pernah Dihubungi</t>
  </si>
  <si>
    <t>Nilai X</t>
  </si>
  <si>
    <t>Kontribusi β ×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</si>
</sst>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color rgb="FF24364A"/>
      <name val="Carlito"/>
    </font>
    <font>
      <sz val="11"/>
      <color rgb="FF17395D"/>
      <name val="Carlito"/>
    </font>
    <font>
      <b/>
      <sz val="16"/>
      <color rgb="FFFFFFFF"/>
      <name val="Carlito"/>
    </font>
    <font>
      <i/>
      <sz val="11"/>
      <color rgb="FF17395D"/>
      <name val="Carlito"/>
    </font>
    <font>
      <sz val="11"/>
      <color rgb="FF24364A"/>
      <name val="Carlito"/>
    </font>
    <font>
      <sz val="11"/>
      <color rgb="FF8A4315"/>
      <name val="Carlito"/>
    </font>
    <font>
      <sz val="10"/>
      <name val="Times New Roman"/>
      <family val="1"/>
    </font>
    <font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7395D"/>
      </patternFill>
    </fill>
    <fill>
      <patternFill patternType="solid">
        <fgColor rgb="FFFFF0D8"/>
      </patternFill>
    </fill>
    <fill>
      <patternFill patternType="solid">
        <fgColor rgb="FF2374B5"/>
      </patternFill>
    </fill>
    <fill>
      <patternFill patternType="solid">
        <fgColor rgb="FFEAF3FA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vertical="center"/>
    </xf>
    <xf numFmtId="0" fontId="0" fillId="0" borderId="0" xfId="0" applyAlignment="1">
      <alignment wrapText="1"/>
    </xf>
    <xf numFmtId="165" fontId="0" fillId="0" borderId="0" xfId="0" applyNumberFormat="1"/>
    <xf numFmtId="0" fontId="7" fillId="0" borderId="0" xfId="0" applyFont="1"/>
    <xf numFmtId="0" fontId="7" fillId="3" borderId="0" xfId="0" applyFont="1" applyFill="1"/>
    <xf numFmtId="164" fontId="0" fillId="3" borderId="0" xfId="0" applyNumberFormat="1" applyFill="1"/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4" fillId="5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6" fillId="3" borderId="0" xfId="0" applyFont="1" applyFill="1"/>
    <xf numFmtId="0" fontId="8" fillId="6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6B7280"/>
      </font>
    </dxf>
    <dxf>
      <font>
        <color rgb="FF14532D"/>
      </font>
      <fill>
        <patternFill patternType="solid">
          <bgColor rgb="FFD9F1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SimulasiNasabah" displayName="TabelSimulasiNasabah" ref="A1:H1001" totalsRowShown="0">
  <tableColumns count="8">
    <tableColumn id="1" xr3:uid="{00000000-0010-0000-0000-000001000000}" name="ID_Nasabah"/>
    <tableColumn id="2" xr3:uid="{00000000-0010-0000-0000-000002000000}" name="Usia"/>
    <tableColumn id="3" xr3:uid="{00000000-0010-0000-0000-000003000000}" name="Penghasilan_Bulanan"/>
    <tableColumn id="4" xr3:uid="{00000000-0010-0000-0000-000004000000}" name="Saldo_Tabungan"/>
    <tableColumn id="5" xr3:uid="{00000000-0010-0000-0000-000005000000}" name="Pekerjaan"/>
    <tableColumn id="6" xr3:uid="{00000000-0010-0000-0000-000006000000}" name="Memiliki_Pinjaman"/>
    <tableColumn id="7" xr3:uid="{00000000-0010-0000-0000-000007000000}" name="Pernah_Dihubungi"/>
    <tableColumn id="8" xr3:uid="{00000000-0010-0000-0000-000008000000}" name="Berlangganan_Depos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12" customWidth="1"/>
    <col min="3" max="4" width="24" customWidth="1"/>
    <col min="5" max="5" width="19" customWidth="1"/>
    <col min="6" max="7" width="22" customWidth="1"/>
    <col min="8" max="8" width="27" customWidth="1"/>
  </cols>
  <sheetData>
    <row r="1" spans="1:8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>
      <c r="A2" t="s">
        <v>8</v>
      </c>
      <c r="B2" s="3">
        <v>41</v>
      </c>
      <c r="C2" s="2">
        <v>8100000</v>
      </c>
      <c r="D2" s="2">
        <v>40500000</v>
      </c>
      <c r="E2" t="s">
        <v>9</v>
      </c>
      <c r="F2" t="s">
        <v>10</v>
      </c>
      <c r="G2" t="s">
        <v>10</v>
      </c>
      <c r="H2" s="3">
        <v>1</v>
      </c>
    </row>
    <row r="3" spans="1:8" ht="20.100000000000001" customHeight="1">
      <c r="A3" t="s">
        <v>11</v>
      </c>
      <c r="B3" s="3">
        <v>35</v>
      </c>
      <c r="C3" s="2">
        <v>6900000</v>
      </c>
      <c r="D3" s="2">
        <v>26400000</v>
      </c>
      <c r="E3" t="s">
        <v>9</v>
      </c>
      <c r="F3" t="s">
        <v>10</v>
      </c>
      <c r="G3" t="s">
        <v>12</v>
      </c>
      <c r="H3" s="3">
        <v>0</v>
      </c>
    </row>
    <row r="4" spans="1:8" ht="20.100000000000001" customHeight="1">
      <c r="A4" t="s">
        <v>13</v>
      </c>
      <c r="B4" s="3">
        <v>53</v>
      </c>
      <c r="C4" s="2">
        <v>6400000</v>
      </c>
      <c r="D4" s="2">
        <v>20200000</v>
      </c>
      <c r="E4" t="s">
        <v>14</v>
      </c>
      <c r="F4" t="s">
        <v>10</v>
      </c>
      <c r="G4" t="s">
        <v>12</v>
      </c>
      <c r="H4" s="3">
        <v>0</v>
      </c>
    </row>
    <row r="5" spans="1:8" ht="20.100000000000001" customHeight="1">
      <c r="A5" t="s">
        <v>15</v>
      </c>
      <c r="B5" s="3">
        <v>46</v>
      </c>
      <c r="C5" s="2">
        <v>12000000</v>
      </c>
      <c r="D5" s="2">
        <v>44400000</v>
      </c>
      <c r="E5" t="s">
        <v>16</v>
      </c>
      <c r="F5" t="s">
        <v>12</v>
      </c>
      <c r="G5" t="s">
        <v>12</v>
      </c>
      <c r="H5" s="3">
        <v>0</v>
      </c>
    </row>
    <row r="6" spans="1:8" ht="20.100000000000001" customHeight="1">
      <c r="A6" t="s">
        <v>17</v>
      </c>
      <c r="B6" s="3">
        <v>39</v>
      </c>
      <c r="C6" s="2">
        <v>3700000</v>
      </c>
      <c r="D6" s="2">
        <v>11800000</v>
      </c>
      <c r="E6" t="s">
        <v>14</v>
      </c>
      <c r="F6" t="s">
        <v>12</v>
      </c>
      <c r="G6" t="s">
        <v>12</v>
      </c>
      <c r="H6" s="3">
        <v>0</v>
      </c>
    </row>
    <row r="7" spans="1:8" ht="20.100000000000001" customHeight="1">
      <c r="A7" t="s">
        <v>18</v>
      </c>
      <c r="B7" s="3">
        <v>44</v>
      </c>
      <c r="C7" s="2">
        <v>7700000</v>
      </c>
      <c r="D7" s="2">
        <v>17600000</v>
      </c>
      <c r="E7" t="s">
        <v>14</v>
      </c>
      <c r="F7" t="s">
        <v>12</v>
      </c>
      <c r="G7" t="s">
        <v>10</v>
      </c>
      <c r="H7" s="3">
        <v>0</v>
      </c>
    </row>
    <row r="8" spans="1:8" ht="20.100000000000001" customHeight="1">
      <c r="A8" t="s">
        <v>19</v>
      </c>
      <c r="B8" s="3">
        <v>38</v>
      </c>
      <c r="C8" s="2">
        <v>5100000</v>
      </c>
      <c r="D8" s="2">
        <v>12500000</v>
      </c>
      <c r="E8" t="s">
        <v>9</v>
      </c>
      <c r="F8" t="s">
        <v>12</v>
      </c>
      <c r="G8" t="s">
        <v>12</v>
      </c>
      <c r="H8" s="3">
        <v>0</v>
      </c>
    </row>
    <row r="9" spans="1:8" ht="20.100000000000001" customHeight="1">
      <c r="A9" t="s">
        <v>20</v>
      </c>
      <c r="B9" s="3">
        <v>36</v>
      </c>
      <c r="C9" s="2">
        <v>7500000</v>
      </c>
      <c r="D9" s="2">
        <v>51500000</v>
      </c>
      <c r="E9" t="s">
        <v>9</v>
      </c>
      <c r="F9" t="s">
        <v>10</v>
      </c>
      <c r="G9" t="s">
        <v>10</v>
      </c>
      <c r="H9" s="3">
        <v>0</v>
      </c>
    </row>
    <row r="10" spans="1:8" ht="20.100000000000001" customHeight="1">
      <c r="A10" t="s">
        <v>21</v>
      </c>
      <c r="B10" s="3">
        <v>32</v>
      </c>
      <c r="C10" s="2">
        <v>4800000</v>
      </c>
      <c r="D10" s="2">
        <v>5600000</v>
      </c>
      <c r="E10" t="s">
        <v>16</v>
      </c>
      <c r="F10" t="s">
        <v>12</v>
      </c>
      <c r="G10" t="s">
        <v>12</v>
      </c>
      <c r="H10" s="3">
        <v>1</v>
      </c>
    </row>
    <row r="11" spans="1:8" ht="20.100000000000001" customHeight="1">
      <c r="A11" t="s">
        <v>22</v>
      </c>
      <c r="B11" s="3">
        <v>25</v>
      </c>
      <c r="C11" s="2">
        <v>10200000</v>
      </c>
      <c r="D11" s="2">
        <v>17600000</v>
      </c>
      <c r="E11" t="s">
        <v>16</v>
      </c>
      <c r="F11" t="s">
        <v>12</v>
      </c>
      <c r="G11" t="s">
        <v>10</v>
      </c>
      <c r="H11" s="3">
        <v>0</v>
      </c>
    </row>
    <row r="12" spans="1:8" ht="20.100000000000001" customHeight="1">
      <c r="A12" t="s">
        <v>23</v>
      </c>
      <c r="B12" s="3">
        <v>21</v>
      </c>
      <c r="C12" s="2">
        <v>4500000</v>
      </c>
      <c r="D12" s="2">
        <v>28700000</v>
      </c>
      <c r="E12" t="s">
        <v>9</v>
      </c>
      <c r="F12" t="s">
        <v>10</v>
      </c>
      <c r="G12" t="s">
        <v>12</v>
      </c>
      <c r="H12" s="3">
        <v>0</v>
      </c>
    </row>
    <row r="13" spans="1:8" ht="20.100000000000001" customHeight="1">
      <c r="A13" t="s">
        <v>24</v>
      </c>
      <c r="B13" s="3">
        <v>33</v>
      </c>
      <c r="C13" s="2">
        <v>14800000</v>
      </c>
      <c r="D13" s="2">
        <v>17900000</v>
      </c>
      <c r="E13" t="s">
        <v>16</v>
      </c>
      <c r="F13" t="s">
        <v>12</v>
      </c>
      <c r="G13" t="s">
        <v>12</v>
      </c>
      <c r="H13" s="3">
        <v>0</v>
      </c>
    </row>
    <row r="14" spans="1:8" ht="20.100000000000001" customHeight="1">
      <c r="A14" t="s">
        <v>25</v>
      </c>
      <c r="B14" s="3">
        <v>27</v>
      </c>
      <c r="C14" s="2">
        <v>7500000</v>
      </c>
      <c r="D14" s="2">
        <v>12300000</v>
      </c>
      <c r="E14" t="s">
        <v>16</v>
      </c>
      <c r="F14" t="s">
        <v>10</v>
      </c>
      <c r="G14" t="s">
        <v>10</v>
      </c>
      <c r="H14" s="3">
        <v>0</v>
      </c>
    </row>
    <row r="15" spans="1:8" ht="20.100000000000001" customHeight="1">
      <c r="A15" t="s">
        <v>26</v>
      </c>
      <c r="B15" s="3">
        <v>41</v>
      </c>
      <c r="C15" s="2">
        <v>5400000</v>
      </c>
      <c r="D15" s="2">
        <v>15200000</v>
      </c>
      <c r="E15" t="s">
        <v>14</v>
      </c>
      <c r="F15" t="s">
        <v>10</v>
      </c>
      <c r="G15" t="s">
        <v>12</v>
      </c>
      <c r="H15" s="3">
        <v>0</v>
      </c>
    </row>
    <row r="16" spans="1:8" ht="20.100000000000001" customHeight="1">
      <c r="A16" t="s">
        <v>27</v>
      </c>
      <c r="B16" s="3">
        <v>42</v>
      </c>
      <c r="C16" s="2">
        <v>4500000</v>
      </c>
      <c r="D16" s="2">
        <v>32100000</v>
      </c>
      <c r="E16" t="s">
        <v>14</v>
      </c>
      <c r="F16" t="s">
        <v>12</v>
      </c>
      <c r="G16" t="s">
        <v>12</v>
      </c>
      <c r="H16" s="3">
        <v>0</v>
      </c>
    </row>
    <row r="17" spans="1:8" ht="20.100000000000001" customHeight="1">
      <c r="A17" t="s">
        <v>28</v>
      </c>
      <c r="B17" s="3">
        <v>21</v>
      </c>
      <c r="C17" s="2">
        <v>4400000</v>
      </c>
      <c r="D17" s="2">
        <v>7300000</v>
      </c>
      <c r="E17" t="s">
        <v>9</v>
      </c>
      <c r="F17" t="s">
        <v>10</v>
      </c>
      <c r="G17" t="s">
        <v>12</v>
      </c>
      <c r="H17" s="3">
        <v>0</v>
      </c>
    </row>
    <row r="18" spans="1:8" ht="20.100000000000001" customHeight="1">
      <c r="A18" t="s">
        <v>29</v>
      </c>
      <c r="B18" s="3">
        <v>46</v>
      </c>
      <c r="C18" s="2">
        <v>6700000</v>
      </c>
      <c r="D18" s="2">
        <v>49100000</v>
      </c>
      <c r="E18" t="s">
        <v>16</v>
      </c>
      <c r="F18" t="s">
        <v>12</v>
      </c>
      <c r="G18" t="s">
        <v>10</v>
      </c>
      <c r="H18" s="3">
        <v>0</v>
      </c>
    </row>
    <row r="19" spans="1:8" ht="20.100000000000001" customHeight="1">
      <c r="A19" t="s">
        <v>30</v>
      </c>
      <c r="B19" s="3">
        <v>54</v>
      </c>
      <c r="C19" s="2">
        <v>3900000</v>
      </c>
      <c r="D19" s="2">
        <v>8500000</v>
      </c>
      <c r="E19" t="s">
        <v>31</v>
      </c>
      <c r="F19" t="s">
        <v>12</v>
      </c>
      <c r="G19" t="s">
        <v>10</v>
      </c>
      <c r="H19" s="3">
        <v>0</v>
      </c>
    </row>
    <row r="20" spans="1:8" ht="20.100000000000001" customHeight="1">
      <c r="A20" t="s">
        <v>32</v>
      </c>
      <c r="B20" s="3">
        <v>43</v>
      </c>
      <c r="C20" s="2">
        <v>3900000</v>
      </c>
      <c r="D20" s="2">
        <v>7600000</v>
      </c>
      <c r="E20" t="s">
        <v>16</v>
      </c>
      <c r="F20" t="s">
        <v>10</v>
      </c>
      <c r="G20" t="s">
        <v>12</v>
      </c>
      <c r="H20" s="3">
        <v>0</v>
      </c>
    </row>
    <row r="21" spans="1:8" ht="20.100000000000001" customHeight="1">
      <c r="A21" t="s">
        <v>33</v>
      </c>
      <c r="B21" s="3">
        <v>48</v>
      </c>
      <c r="C21" s="2">
        <v>19800000</v>
      </c>
      <c r="D21" s="2">
        <v>155000000</v>
      </c>
      <c r="E21" t="s">
        <v>16</v>
      </c>
      <c r="F21" t="s">
        <v>10</v>
      </c>
      <c r="G21" t="s">
        <v>12</v>
      </c>
      <c r="H21" s="3">
        <v>1</v>
      </c>
    </row>
    <row r="22" spans="1:8" ht="20.100000000000001" customHeight="1">
      <c r="A22" t="s">
        <v>34</v>
      </c>
      <c r="B22" s="3">
        <v>23</v>
      </c>
      <c r="C22" s="2">
        <v>2400000</v>
      </c>
      <c r="D22" s="2">
        <v>3800000</v>
      </c>
      <c r="E22" t="s">
        <v>16</v>
      </c>
      <c r="F22" t="s">
        <v>12</v>
      </c>
      <c r="G22" t="s">
        <v>12</v>
      </c>
      <c r="H22" s="3">
        <v>0</v>
      </c>
    </row>
    <row r="23" spans="1:8" ht="20.100000000000001" customHeight="1">
      <c r="A23" t="s">
        <v>35</v>
      </c>
      <c r="B23" s="3">
        <v>54</v>
      </c>
      <c r="C23" s="2">
        <v>4300000</v>
      </c>
      <c r="D23" s="2">
        <v>23200000</v>
      </c>
      <c r="E23" t="s">
        <v>9</v>
      </c>
      <c r="F23" t="s">
        <v>12</v>
      </c>
      <c r="G23" t="s">
        <v>12</v>
      </c>
      <c r="H23" s="3">
        <v>0</v>
      </c>
    </row>
    <row r="24" spans="1:8" ht="20.100000000000001" customHeight="1">
      <c r="A24" t="s">
        <v>36</v>
      </c>
      <c r="B24" s="3">
        <v>43</v>
      </c>
      <c r="C24" s="2">
        <v>7500000</v>
      </c>
      <c r="D24" s="2">
        <v>15200000</v>
      </c>
      <c r="E24" t="s">
        <v>9</v>
      </c>
      <c r="F24" t="s">
        <v>10</v>
      </c>
      <c r="G24" t="s">
        <v>12</v>
      </c>
      <c r="H24" s="3">
        <v>0</v>
      </c>
    </row>
    <row r="25" spans="1:8" ht="20.100000000000001" customHeight="1">
      <c r="A25" t="s">
        <v>37</v>
      </c>
      <c r="B25" s="3">
        <v>58</v>
      </c>
      <c r="C25" s="2">
        <v>4800000</v>
      </c>
      <c r="D25" s="2">
        <v>36200000</v>
      </c>
      <c r="E25" t="s">
        <v>31</v>
      </c>
      <c r="F25" t="s">
        <v>12</v>
      </c>
      <c r="G25" t="s">
        <v>10</v>
      </c>
      <c r="H25" s="3">
        <v>1</v>
      </c>
    </row>
    <row r="26" spans="1:8" ht="20.100000000000001" customHeight="1">
      <c r="A26" t="s">
        <v>38</v>
      </c>
      <c r="B26" s="3">
        <v>37</v>
      </c>
      <c r="C26" s="2">
        <v>7000000</v>
      </c>
      <c r="D26" s="2">
        <v>31900000</v>
      </c>
      <c r="E26" t="s">
        <v>9</v>
      </c>
      <c r="F26" t="s">
        <v>10</v>
      </c>
      <c r="G26" t="s">
        <v>12</v>
      </c>
      <c r="H26" s="3">
        <v>0</v>
      </c>
    </row>
    <row r="27" spans="1:8" ht="20.100000000000001" customHeight="1">
      <c r="A27" t="s">
        <v>39</v>
      </c>
      <c r="B27" s="3">
        <v>62</v>
      </c>
      <c r="C27" s="2">
        <v>3500000</v>
      </c>
      <c r="D27" s="2">
        <v>10900000</v>
      </c>
      <c r="E27" t="s">
        <v>31</v>
      </c>
      <c r="F27" t="s">
        <v>12</v>
      </c>
      <c r="G27" t="s">
        <v>10</v>
      </c>
      <c r="H27" s="3">
        <v>1</v>
      </c>
    </row>
    <row r="28" spans="1:8" ht="20.100000000000001" customHeight="1">
      <c r="A28" t="s">
        <v>40</v>
      </c>
      <c r="B28" s="3">
        <v>35</v>
      </c>
      <c r="C28" s="2">
        <v>6100000</v>
      </c>
      <c r="D28" s="2">
        <v>6200000</v>
      </c>
      <c r="E28" t="s">
        <v>9</v>
      </c>
      <c r="F28" t="s">
        <v>12</v>
      </c>
      <c r="G28" t="s">
        <v>10</v>
      </c>
      <c r="H28" s="3">
        <v>0</v>
      </c>
    </row>
    <row r="29" spans="1:8" ht="20.100000000000001" customHeight="1">
      <c r="A29" t="s">
        <v>41</v>
      </c>
      <c r="B29" s="3">
        <v>34</v>
      </c>
      <c r="C29" s="2">
        <v>9200000</v>
      </c>
      <c r="D29" s="2">
        <v>21200000</v>
      </c>
      <c r="E29" t="s">
        <v>9</v>
      </c>
      <c r="F29" t="s">
        <v>12</v>
      </c>
      <c r="G29" t="s">
        <v>12</v>
      </c>
      <c r="H29" s="3">
        <v>0</v>
      </c>
    </row>
    <row r="30" spans="1:8" ht="20.100000000000001" customHeight="1">
      <c r="A30" t="s">
        <v>42</v>
      </c>
      <c r="B30" s="3">
        <v>21</v>
      </c>
      <c r="C30" s="2">
        <v>5100000</v>
      </c>
      <c r="D30" s="2">
        <v>3600000</v>
      </c>
      <c r="E30" t="s">
        <v>14</v>
      </c>
      <c r="F30" t="s">
        <v>10</v>
      </c>
      <c r="G30" t="s">
        <v>12</v>
      </c>
      <c r="H30" s="3">
        <v>0</v>
      </c>
    </row>
    <row r="31" spans="1:8" ht="20.100000000000001" customHeight="1">
      <c r="A31" t="s">
        <v>43</v>
      </c>
      <c r="B31" s="3">
        <v>32</v>
      </c>
      <c r="C31" s="2">
        <v>5900000</v>
      </c>
      <c r="D31" s="2">
        <v>23000000</v>
      </c>
      <c r="E31" t="s">
        <v>9</v>
      </c>
      <c r="F31" t="s">
        <v>12</v>
      </c>
      <c r="G31" t="s">
        <v>12</v>
      </c>
      <c r="H31" s="3">
        <v>0</v>
      </c>
    </row>
    <row r="32" spans="1:8" ht="20.100000000000001" customHeight="1">
      <c r="A32" t="s">
        <v>44</v>
      </c>
      <c r="B32" s="3">
        <v>36</v>
      </c>
      <c r="C32" s="2">
        <v>5400000</v>
      </c>
      <c r="D32" s="2">
        <v>106100000</v>
      </c>
      <c r="E32" t="s">
        <v>9</v>
      </c>
      <c r="F32" t="s">
        <v>12</v>
      </c>
      <c r="G32" t="s">
        <v>10</v>
      </c>
      <c r="H32" s="3">
        <v>1</v>
      </c>
    </row>
    <row r="33" spans="1:8" ht="20.100000000000001" customHeight="1">
      <c r="A33" t="s">
        <v>45</v>
      </c>
      <c r="B33" s="3">
        <v>45</v>
      </c>
      <c r="C33" s="2">
        <v>14200000</v>
      </c>
      <c r="D33" s="2">
        <v>39300000</v>
      </c>
      <c r="E33" t="s">
        <v>16</v>
      </c>
      <c r="F33" t="s">
        <v>12</v>
      </c>
      <c r="G33" t="s">
        <v>10</v>
      </c>
      <c r="H33" s="3">
        <v>0</v>
      </c>
    </row>
    <row r="34" spans="1:8" ht="20.100000000000001" customHeight="1">
      <c r="A34" t="s">
        <v>46</v>
      </c>
      <c r="B34" s="3">
        <v>30</v>
      </c>
      <c r="C34" s="2">
        <v>4300000</v>
      </c>
      <c r="D34" s="2">
        <v>14800000</v>
      </c>
      <c r="E34" t="s">
        <v>14</v>
      </c>
      <c r="F34" t="s">
        <v>10</v>
      </c>
      <c r="G34" t="s">
        <v>10</v>
      </c>
      <c r="H34" s="3">
        <v>0</v>
      </c>
    </row>
    <row r="35" spans="1:8" ht="20.100000000000001" customHeight="1">
      <c r="A35" t="s">
        <v>47</v>
      </c>
      <c r="B35" s="3">
        <v>28</v>
      </c>
      <c r="C35" s="2">
        <v>3700000</v>
      </c>
      <c r="D35" s="2">
        <v>14300000</v>
      </c>
      <c r="E35" t="s">
        <v>9</v>
      </c>
      <c r="F35" t="s">
        <v>10</v>
      </c>
      <c r="G35" t="s">
        <v>12</v>
      </c>
      <c r="H35" s="3">
        <v>0</v>
      </c>
    </row>
    <row r="36" spans="1:8" ht="20.100000000000001" customHeight="1">
      <c r="A36" t="s">
        <v>48</v>
      </c>
      <c r="B36" s="3">
        <v>47</v>
      </c>
      <c r="C36" s="2">
        <v>9200000</v>
      </c>
      <c r="D36" s="2">
        <v>74100000</v>
      </c>
      <c r="E36" t="s">
        <v>9</v>
      </c>
      <c r="F36" t="s">
        <v>12</v>
      </c>
      <c r="G36" t="s">
        <v>10</v>
      </c>
      <c r="H36" s="3">
        <v>1</v>
      </c>
    </row>
    <row r="37" spans="1:8" ht="20.100000000000001" customHeight="1">
      <c r="A37" t="s">
        <v>49</v>
      </c>
      <c r="B37" s="3">
        <v>36</v>
      </c>
      <c r="C37" s="2">
        <v>9600000</v>
      </c>
      <c r="D37" s="2">
        <v>15200000</v>
      </c>
      <c r="E37" t="s">
        <v>14</v>
      </c>
      <c r="F37" t="s">
        <v>10</v>
      </c>
      <c r="G37" t="s">
        <v>12</v>
      </c>
      <c r="H37" s="3">
        <v>0</v>
      </c>
    </row>
    <row r="38" spans="1:8" ht="20.100000000000001" customHeight="1">
      <c r="A38" t="s">
        <v>50</v>
      </c>
      <c r="B38" s="3">
        <v>38</v>
      </c>
      <c r="C38" s="2">
        <v>4600000</v>
      </c>
      <c r="D38" s="2">
        <v>46900000</v>
      </c>
      <c r="E38" t="s">
        <v>9</v>
      </c>
      <c r="F38" t="s">
        <v>10</v>
      </c>
      <c r="G38" t="s">
        <v>10</v>
      </c>
      <c r="H38" s="3">
        <v>0</v>
      </c>
    </row>
    <row r="39" spans="1:8" ht="20.100000000000001" customHeight="1">
      <c r="A39" t="s">
        <v>51</v>
      </c>
      <c r="B39" s="3">
        <v>48</v>
      </c>
      <c r="C39" s="2">
        <v>7900000</v>
      </c>
      <c r="D39" s="2">
        <v>19500000</v>
      </c>
      <c r="E39" t="s">
        <v>14</v>
      </c>
      <c r="F39" t="s">
        <v>12</v>
      </c>
      <c r="G39" t="s">
        <v>10</v>
      </c>
      <c r="H39" s="3">
        <v>0</v>
      </c>
    </row>
    <row r="40" spans="1:8" ht="20.100000000000001" customHeight="1">
      <c r="A40" t="s">
        <v>52</v>
      </c>
      <c r="B40" s="3">
        <v>31</v>
      </c>
      <c r="C40" s="2">
        <v>7200000</v>
      </c>
      <c r="D40" s="2">
        <v>33900000</v>
      </c>
      <c r="E40" t="s">
        <v>16</v>
      </c>
      <c r="F40" t="s">
        <v>10</v>
      </c>
      <c r="G40" t="s">
        <v>10</v>
      </c>
      <c r="H40" s="3">
        <v>1</v>
      </c>
    </row>
    <row r="41" spans="1:8" ht="20.100000000000001" customHeight="1">
      <c r="A41" t="s">
        <v>53</v>
      </c>
      <c r="B41" s="3">
        <v>40</v>
      </c>
      <c r="C41" s="2">
        <v>7000000</v>
      </c>
      <c r="D41" s="2">
        <v>155000000</v>
      </c>
      <c r="E41" t="s">
        <v>9</v>
      </c>
      <c r="F41" t="s">
        <v>12</v>
      </c>
      <c r="G41" t="s">
        <v>12</v>
      </c>
      <c r="H41" s="3">
        <v>1</v>
      </c>
    </row>
    <row r="42" spans="1:8" ht="20.100000000000001" customHeight="1">
      <c r="A42" t="s">
        <v>54</v>
      </c>
      <c r="B42" s="3">
        <v>46</v>
      </c>
      <c r="C42" s="2">
        <v>7300000</v>
      </c>
      <c r="D42" s="2">
        <v>34600000</v>
      </c>
      <c r="E42" t="s">
        <v>9</v>
      </c>
      <c r="F42" t="s">
        <v>12</v>
      </c>
      <c r="G42" t="s">
        <v>10</v>
      </c>
      <c r="H42" s="3">
        <v>0</v>
      </c>
    </row>
    <row r="43" spans="1:8" ht="20.100000000000001" customHeight="1">
      <c r="A43" t="s">
        <v>55</v>
      </c>
      <c r="B43" s="3">
        <v>46</v>
      </c>
      <c r="C43" s="2">
        <v>5100000</v>
      </c>
      <c r="D43" s="2">
        <v>26400000</v>
      </c>
      <c r="E43" t="s">
        <v>9</v>
      </c>
      <c r="F43" t="s">
        <v>12</v>
      </c>
      <c r="G43" t="s">
        <v>12</v>
      </c>
      <c r="H43" s="3">
        <v>1</v>
      </c>
    </row>
    <row r="44" spans="1:8" ht="20.100000000000001" customHeight="1">
      <c r="A44" t="s">
        <v>56</v>
      </c>
      <c r="B44" s="3">
        <v>21</v>
      </c>
      <c r="C44" s="2">
        <v>5200000</v>
      </c>
      <c r="D44" s="2">
        <v>11200000</v>
      </c>
      <c r="E44" t="s">
        <v>9</v>
      </c>
      <c r="F44" t="s">
        <v>10</v>
      </c>
      <c r="G44" t="s">
        <v>12</v>
      </c>
      <c r="H44" s="3">
        <v>0</v>
      </c>
    </row>
    <row r="45" spans="1:8" ht="20.100000000000001" customHeight="1">
      <c r="A45" t="s">
        <v>57</v>
      </c>
      <c r="B45" s="3">
        <v>22</v>
      </c>
      <c r="C45" s="2">
        <v>8800000</v>
      </c>
      <c r="D45" s="2">
        <v>2900000</v>
      </c>
      <c r="E45" t="s">
        <v>16</v>
      </c>
      <c r="F45" t="s">
        <v>12</v>
      </c>
      <c r="G45" t="s">
        <v>12</v>
      </c>
      <c r="H45" s="3">
        <v>1</v>
      </c>
    </row>
    <row r="46" spans="1:8" ht="20.100000000000001" customHeight="1">
      <c r="A46" t="s">
        <v>58</v>
      </c>
      <c r="B46" s="3">
        <v>46</v>
      </c>
      <c r="C46" s="2">
        <v>4300000</v>
      </c>
      <c r="D46" s="2">
        <v>9800000</v>
      </c>
      <c r="E46" t="s">
        <v>9</v>
      </c>
      <c r="F46" t="s">
        <v>10</v>
      </c>
      <c r="G46" t="s">
        <v>12</v>
      </c>
      <c r="H46" s="3">
        <v>0</v>
      </c>
    </row>
    <row r="47" spans="1:8" ht="20.100000000000001" customHeight="1">
      <c r="A47" t="s">
        <v>59</v>
      </c>
      <c r="B47" s="3">
        <v>44</v>
      </c>
      <c r="C47" s="2">
        <v>5800000</v>
      </c>
      <c r="D47" s="2">
        <v>13600000</v>
      </c>
      <c r="E47" t="s">
        <v>9</v>
      </c>
      <c r="F47" t="s">
        <v>12</v>
      </c>
      <c r="G47" t="s">
        <v>10</v>
      </c>
      <c r="H47" s="3">
        <v>0</v>
      </c>
    </row>
    <row r="48" spans="1:8" ht="20.100000000000001" customHeight="1">
      <c r="A48" t="s">
        <v>60</v>
      </c>
      <c r="B48" s="3">
        <v>62</v>
      </c>
      <c r="C48" s="2">
        <v>5500000</v>
      </c>
      <c r="D48" s="2">
        <v>8500000</v>
      </c>
      <c r="E48" t="s">
        <v>31</v>
      </c>
      <c r="F48" t="s">
        <v>12</v>
      </c>
      <c r="G48" t="s">
        <v>10</v>
      </c>
      <c r="H48" s="3">
        <v>1</v>
      </c>
    </row>
    <row r="49" spans="1:8" ht="20.100000000000001" customHeight="1">
      <c r="A49" t="s">
        <v>61</v>
      </c>
      <c r="B49" s="3">
        <v>32</v>
      </c>
      <c r="C49" s="2">
        <v>13300000</v>
      </c>
      <c r="D49" s="2">
        <v>27400000</v>
      </c>
      <c r="E49" t="s">
        <v>16</v>
      </c>
      <c r="F49" t="s">
        <v>12</v>
      </c>
      <c r="G49" t="s">
        <v>10</v>
      </c>
      <c r="H49" s="3">
        <v>1</v>
      </c>
    </row>
    <row r="50" spans="1:8" ht="20.100000000000001" customHeight="1">
      <c r="A50" t="s">
        <v>62</v>
      </c>
      <c r="B50" s="3">
        <v>35</v>
      </c>
      <c r="C50" s="2">
        <v>6600000</v>
      </c>
      <c r="D50" s="2">
        <v>34200000</v>
      </c>
      <c r="E50" t="s">
        <v>9</v>
      </c>
      <c r="F50" t="s">
        <v>12</v>
      </c>
      <c r="G50" t="s">
        <v>12</v>
      </c>
      <c r="H50" s="3">
        <v>1</v>
      </c>
    </row>
    <row r="51" spans="1:8" ht="20.100000000000001" customHeight="1">
      <c r="A51" t="s">
        <v>63</v>
      </c>
      <c r="B51" s="3">
        <v>36</v>
      </c>
      <c r="C51" s="2">
        <v>6400000</v>
      </c>
      <c r="D51" s="2">
        <v>55200000</v>
      </c>
      <c r="E51" t="s">
        <v>14</v>
      </c>
      <c r="F51" t="s">
        <v>10</v>
      </c>
      <c r="G51" t="s">
        <v>10</v>
      </c>
      <c r="H51" s="3">
        <v>1</v>
      </c>
    </row>
    <row r="52" spans="1:8" ht="20.100000000000001" customHeight="1">
      <c r="A52" t="s">
        <v>64</v>
      </c>
      <c r="B52" s="3">
        <v>49</v>
      </c>
      <c r="C52" s="2">
        <v>3700000</v>
      </c>
      <c r="D52" s="2">
        <v>26100000</v>
      </c>
      <c r="E52" t="s">
        <v>16</v>
      </c>
      <c r="F52" t="s">
        <v>12</v>
      </c>
      <c r="G52" t="s">
        <v>10</v>
      </c>
      <c r="H52" s="3">
        <v>1</v>
      </c>
    </row>
    <row r="53" spans="1:8" ht="20.100000000000001" customHeight="1">
      <c r="A53" t="s">
        <v>65</v>
      </c>
      <c r="B53" s="3">
        <v>50</v>
      </c>
      <c r="C53" s="2">
        <v>8400000</v>
      </c>
      <c r="D53" s="2">
        <v>77000000</v>
      </c>
      <c r="E53" t="s">
        <v>16</v>
      </c>
      <c r="F53" t="s">
        <v>12</v>
      </c>
      <c r="G53" t="s">
        <v>10</v>
      </c>
      <c r="H53" s="3">
        <v>0</v>
      </c>
    </row>
    <row r="54" spans="1:8" ht="20.100000000000001" customHeight="1">
      <c r="A54" t="s">
        <v>66</v>
      </c>
      <c r="B54" s="3">
        <v>37</v>
      </c>
      <c r="C54" s="2">
        <v>7300000</v>
      </c>
      <c r="D54" s="2">
        <v>59000000</v>
      </c>
      <c r="E54" t="s">
        <v>16</v>
      </c>
      <c r="F54" t="s">
        <v>12</v>
      </c>
      <c r="G54" t="s">
        <v>10</v>
      </c>
      <c r="H54" s="3">
        <v>1</v>
      </c>
    </row>
    <row r="55" spans="1:8" ht="20.100000000000001" customHeight="1">
      <c r="A55" t="s">
        <v>67</v>
      </c>
      <c r="B55" s="3">
        <v>21</v>
      </c>
      <c r="C55" s="2">
        <v>8000000</v>
      </c>
      <c r="D55" s="2">
        <v>19400000</v>
      </c>
      <c r="E55" t="s">
        <v>9</v>
      </c>
      <c r="F55" t="s">
        <v>10</v>
      </c>
      <c r="G55" t="s">
        <v>12</v>
      </c>
      <c r="H55" s="3">
        <v>0</v>
      </c>
    </row>
    <row r="56" spans="1:8" ht="20.100000000000001" customHeight="1">
      <c r="A56" t="s">
        <v>68</v>
      </c>
      <c r="B56" s="3">
        <v>45</v>
      </c>
      <c r="C56" s="2">
        <v>7900000</v>
      </c>
      <c r="D56" s="2">
        <v>101900000</v>
      </c>
      <c r="E56" t="s">
        <v>9</v>
      </c>
      <c r="F56" t="s">
        <v>12</v>
      </c>
      <c r="G56" t="s">
        <v>10</v>
      </c>
      <c r="H56" s="3">
        <v>0</v>
      </c>
    </row>
    <row r="57" spans="1:8" ht="20.100000000000001" customHeight="1">
      <c r="A57" t="s">
        <v>69</v>
      </c>
      <c r="B57" s="3">
        <v>36</v>
      </c>
      <c r="C57" s="2">
        <v>3900000</v>
      </c>
      <c r="D57" s="2">
        <v>5900000</v>
      </c>
      <c r="E57" t="s">
        <v>9</v>
      </c>
      <c r="F57" t="s">
        <v>10</v>
      </c>
      <c r="G57" t="s">
        <v>10</v>
      </c>
      <c r="H57" s="3">
        <v>0</v>
      </c>
    </row>
    <row r="58" spans="1:8" ht="20.100000000000001" customHeight="1">
      <c r="A58" t="s">
        <v>70</v>
      </c>
      <c r="B58" s="3">
        <v>46</v>
      </c>
      <c r="C58" s="2">
        <v>5000000</v>
      </c>
      <c r="D58" s="2">
        <v>22400000</v>
      </c>
      <c r="E58" t="s">
        <v>9</v>
      </c>
      <c r="F58" t="s">
        <v>10</v>
      </c>
      <c r="G58" t="s">
        <v>12</v>
      </c>
      <c r="H58" s="3">
        <v>0</v>
      </c>
    </row>
    <row r="59" spans="1:8" ht="20.100000000000001" customHeight="1">
      <c r="A59" t="s">
        <v>71</v>
      </c>
      <c r="B59" s="3">
        <v>45</v>
      </c>
      <c r="C59" s="2">
        <v>8900000</v>
      </c>
      <c r="D59" s="2">
        <v>17500000</v>
      </c>
      <c r="E59" t="s">
        <v>14</v>
      </c>
      <c r="F59" t="s">
        <v>10</v>
      </c>
      <c r="G59" t="s">
        <v>12</v>
      </c>
      <c r="H59" s="3">
        <v>0</v>
      </c>
    </row>
    <row r="60" spans="1:8" ht="20.100000000000001" customHeight="1">
      <c r="A60" t="s">
        <v>72</v>
      </c>
      <c r="B60" s="3">
        <v>39</v>
      </c>
      <c r="C60" s="2">
        <v>5100000</v>
      </c>
      <c r="D60" s="2">
        <v>10600000</v>
      </c>
      <c r="E60" t="s">
        <v>9</v>
      </c>
      <c r="F60" t="s">
        <v>10</v>
      </c>
      <c r="G60" t="s">
        <v>10</v>
      </c>
      <c r="H60" s="3">
        <v>0</v>
      </c>
    </row>
    <row r="61" spans="1:8" ht="20.100000000000001" customHeight="1">
      <c r="A61" t="s">
        <v>73</v>
      </c>
      <c r="B61" s="3">
        <v>29</v>
      </c>
      <c r="C61" s="2">
        <v>4500000</v>
      </c>
      <c r="D61" s="2">
        <v>61300000</v>
      </c>
      <c r="E61" t="s">
        <v>14</v>
      </c>
      <c r="F61" t="s">
        <v>12</v>
      </c>
      <c r="G61" t="s">
        <v>10</v>
      </c>
      <c r="H61" s="3">
        <v>0</v>
      </c>
    </row>
    <row r="62" spans="1:8" ht="20.100000000000001" customHeight="1">
      <c r="A62" t="s">
        <v>74</v>
      </c>
      <c r="B62" s="3">
        <v>28</v>
      </c>
      <c r="C62" s="2">
        <v>3200000</v>
      </c>
      <c r="D62" s="2">
        <v>9300000</v>
      </c>
      <c r="E62" t="s">
        <v>16</v>
      </c>
      <c r="F62" t="s">
        <v>12</v>
      </c>
      <c r="G62" t="s">
        <v>12</v>
      </c>
      <c r="H62" s="3">
        <v>1</v>
      </c>
    </row>
    <row r="63" spans="1:8" ht="20.100000000000001" customHeight="1">
      <c r="A63" t="s">
        <v>75</v>
      </c>
      <c r="B63" s="3">
        <v>48</v>
      </c>
      <c r="C63" s="2">
        <v>16000000</v>
      </c>
      <c r="D63" s="2">
        <v>155000000</v>
      </c>
      <c r="E63" t="s">
        <v>16</v>
      </c>
      <c r="F63" t="s">
        <v>10</v>
      </c>
      <c r="G63" t="s">
        <v>12</v>
      </c>
      <c r="H63" s="3">
        <v>1</v>
      </c>
    </row>
    <row r="64" spans="1:8" ht="20.100000000000001" customHeight="1">
      <c r="A64" t="s">
        <v>76</v>
      </c>
      <c r="B64" s="3">
        <v>26</v>
      </c>
      <c r="C64" s="2">
        <v>7300000</v>
      </c>
      <c r="D64" s="2">
        <v>5400000</v>
      </c>
      <c r="E64" t="s">
        <v>9</v>
      </c>
      <c r="F64" t="s">
        <v>10</v>
      </c>
      <c r="G64" t="s">
        <v>10</v>
      </c>
      <c r="H64" s="3">
        <v>0</v>
      </c>
    </row>
    <row r="65" spans="1:8" ht="20.100000000000001" customHeight="1">
      <c r="A65" t="s">
        <v>77</v>
      </c>
      <c r="B65" s="3">
        <v>48</v>
      </c>
      <c r="C65" s="2">
        <v>6400000</v>
      </c>
      <c r="D65" s="2">
        <v>15000000</v>
      </c>
      <c r="E65" t="s">
        <v>9</v>
      </c>
      <c r="F65" t="s">
        <v>12</v>
      </c>
      <c r="G65" t="s">
        <v>12</v>
      </c>
      <c r="H65" s="3">
        <v>0</v>
      </c>
    </row>
    <row r="66" spans="1:8" ht="20.100000000000001" customHeight="1">
      <c r="A66" t="s">
        <v>78</v>
      </c>
      <c r="B66" s="3">
        <v>21</v>
      </c>
      <c r="C66" s="2">
        <v>5500000</v>
      </c>
      <c r="D66" s="2">
        <v>27600000</v>
      </c>
      <c r="E66" t="s">
        <v>9</v>
      </c>
      <c r="F66" t="s">
        <v>10</v>
      </c>
      <c r="G66" t="s">
        <v>12</v>
      </c>
      <c r="H66" s="3">
        <v>0</v>
      </c>
    </row>
    <row r="67" spans="1:8" ht="20.100000000000001" customHeight="1">
      <c r="A67" t="s">
        <v>79</v>
      </c>
      <c r="B67" s="3">
        <v>34</v>
      </c>
      <c r="C67" s="2">
        <v>10200000</v>
      </c>
      <c r="D67" s="2">
        <v>58100000</v>
      </c>
      <c r="E67" t="s">
        <v>9</v>
      </c>
      <c r="F67" t="s">
        <v>12</v>
      </c>
      <c r="G67" t="s">
        <v>12</v>
      </c>
      <c r="H67" s="3">
        <v>0</v>
      </c>
    </row>
    <row r="68" spans="1:8" ht="20.100000000000001" customHeight="1">
      <c r="A68" t="s">
        <v>80</v>
      </c>
      <c r="B68" s="3">
        <v>36</v>
      </c>
      <c r="C68" s="2">
        <v>4900000</v>
      </c>
      <c r="D68" s="2">
        <v>24800000</v>
      </c>
      <c r="E68" t="s">
        <v>14</v>
      </c>
      <c r="F68" t="s">
        <v>10</v>
      </c>
      <c r="G68" t="s">
        <v>12</v>
      </c>
      <c r="H68" s="3">
        <v>0</v>
      </c>
    </row>
    <row r="69" spans="1:8" ht="20.100000000000001" customHeight="1">
      <c r="A69" t="s">
        <v>81</v>
      </c>
      <c r="B69" s="3">
        <v>51</v>
      </c>
      <c r="C69" s="2">
        <v>4500000</v>
      </c>
      <c r="D69" s="2">
        <v>155000000</v>
      </c>
      <c r="E69" t="s">
        <v>9</v>
      </c>
      <c r="F69" t="s">
        <v>12</v>
      </c>
      <c r="G69" t="s">
        <v>10</v>
      </c>
      <c r="H69" s="3">
        <v>1</v>
      </c>
    </row>
    <row r="70" spans="1:8" ht="20.100000000000001" customHeight="1">
      <c r="A70" t="s">
        <v>82</v>
      </c>
      <c r="B70" s="3">
        <v>47</v>
      </c>
      <c r="C70" s="2">
        <v>6600000</v>
      </c>
      <c r="D70" s="2">
        <v>12800000</v>
      </c>
      <c r="E70" t="s">
        <v>9</v>
      </c>
      <c r="F70" t="s">
        <v>12</v>
      </c>
      <c r="G70" t="s">
        <v>10</v>
      </c>
      <c r="H70" s="3">
        <v>1</v>
      </c>
    </row>
    <row r="71" spans="1:8" ht="20.100000000000001" customHeight="1">
      <c r="A71" t="s">
        <v>83</v>
      </c>
      <c r="B71" s="3">
        <v>34</v>
      </c>
      <c r="C71" s="2">
        <v>1900000</v>
      </c>
      <c r="D71" s="2">
        <v>11300000</v>
      </c>
      <c r="E71" t="s">
        <v>16</v>
      </c>
      <c r="F71" t="s">
        <v>10</v>
      </c>
      <c r="G71" t="s">
        <v>12</v>
      </c>
      <c r="H71" s="3">
        <v>0</v>
      </c>
    </row>
    <row r="72" spans="1:8" ht="20.100000000000001" customHeight="1">
      <c r="A72" t="s">
        <v>84</v>
      </c>
      <c r="B72" s="3">
        <v>31</v>
      </c>
      <c r="C72" s="2">
        <v>4500000</v>
      </c>
      <c r="D72" s="2">
        <v>18800000</v>
      </c>
      <c r="E72" t="s">
        <v>9</v>
      </c>
      <c r="F72" t="s">
        <v>12</v>
      </c>
      <c r="G72" t="s">
        <v>10</v>
      </c>
      <c r="H72" s="3">
        <v>0</v>
      </c>
    </row>
    <row r="73" spans="1:8" ht="20.100000000000001" customHeight="1">
      <c r="A73" t="s">
        <v>85</v>
      </c>
      <c r="B73" s="3">
        <v>48</v>
      </c>
      <c r="C73" s="2">
        <v>4600000</v>
      </c>
      <c r="D73" s="2">
        <v>10100000</v>
      </c>
      <c r="E73" t="s">
        <v>9</v>
      </c>
      <c r="F73" t="s">
        <v>12</v>
      </c>
      <c r="G73" t="s">
        <v>10</v>
      </c>
      <c r="H73" s="3">
        <v>0</v>
      </c>
    </row>
    <row r="74" spans="1:8" ht="20.100000000000001" customHeight="1">
      <c r="A74" t="s">
        <v>86</v>
      </c>
      <c r="B74" s="3">
        <v>38</v>
      </c>
      <c r="C74" s="2">
        <v>5600000</v>
      </c>
      <c r="D74" s="2">
        <v>38800000</v>
      </c>
      <c r="E74" t="s">
        <v>9</v>
      </c>
      <c r="F74" t="s">
        <v>10</v>
      </c>
      <c r="G74" t="s">
        <v>12</v>
      </c>
      <c r="H74" s="3">
        <v>0</v>
      </c>
    </row>
    <row r="75" spans="1:8" ht="20.100000000000001" customHeight="1">
      <c r="A75" t="s">
        <v>87</v>
      </c>
      <c r="B75" s="3">
        <v>27</v>
      </c>
      <c r="C75" s="2">
        <v>4600000</v>
      </c>
      <c r="D75" s="2">
        <v>12300000</v>
      </c>
      <c r="E75" t="s">
        <v>14</v>
      </c>
      <c r="F75" t="s">
        <v>12</v>
      </c>
      <c r="G75" t="s">
        <v>10</v>
      </c>
      <c r="H75" s="3">
        <v>0</v>
      </c>
    </row>
    <row r="76" spans="1:8" ht="20.100000000000001" customHeight="1">
      <c r="A76" t="s">
        <v>88</v>
      </c>
      <c r="B76" s="3">
        <v>45</v>
      </c>
      <c r="C76" s="2">
        <v>3200000</v>
      </c>
      <c r="D76" s="2">
        <v>10100000</v>
      </c>
      <c r="E76" t="s">
        <v>16</v>
      </c>
      <c r="F76" t="s">
        <v>12</v>
      </c>
      <c r="G76" t="s">
        <v>10</v>
      </c>
      <c r="H76" s="3">
        <v>0</v>
      </c>
    </row>
    <row r="77" spans="1:8" ht="20.100000000000001" customHeight="1">
      <c r="A77" t="s">
        <v>89</v>
      </c>
      <c r="B77" s="3">
        <v>33</v>
      </c>
      <c r="C77" s="2">
        <v>3900000</v>
      </c>
      <c r="D77" s="2">
        <v>12900000</v>
      </c>
      <c r="E77" t="s">
        <v>16</v>
      </c>
      <c r="F77" t="s">
        <v>12</v>
      </c>
      <c r="G77" t="s">
        <v>12</v>
      </c>
      <c r="H77" s="3">
        <v>0</v>
      </c>
    </row>
    <row r="78" spans="1:8" ht="20.100000000000001" customHeight="1">
      <c r="A78" t="s">
        <v>90</v>
      </c>
      <c r="B78" s="3">
        <v>45</v>
      </c>
      <c r="C78" s="2">
        <v>3600000</v>
      </c>
      <c r="D78" s="2">
        <v>8500000</v>
      </c>
      <c r="E78" t="s">
        <v>16</v>
      </c>
      <c r="F78" t="s">
        <v>12</v>
      </c>
      <c r="G78" t="s">
        <v>10</v>
      </c>
      <c r="H78" s="3">
        <v>0</v>
      </c>
    </row>
    <row r="79" spans="1:8" ht="20.100000000000001" customHeight="1">
      <c r="A79" t="s">
        <v>91</v>
      </c>
      <c r="B79" s="3">
        <v>37</v>
      </c>
      <c r="C79" s="2">
        <v>4300000</v>
      </c>
      <c r="D79" s="2">
        <v>4600000</v>
      </c>
      <c r="E79" t="s">
        <v>9</v>
      </c>
      <c r="F79" t="s">
        <v>10</v>
      </c>
      <c r="G79" t="s">
        <v>10</v>
      </c>
      <c r="H79" s="3">
        <v>0</v>
      </c>
    </row>
    <row r="80" spans="1:8" ht="20.100000000000001" customHeight="1">
      <c r="A80" t="s">
        <v>92</v>
      </c>
      <c r="B80" s="3">
        <v>37</v>
      </c>
      <c r="C80" s="2">
        <v>10700000</v>
      </c>
      <c r="D80" s="2">
        <v>36900000</v>
      </c>
      <c r="E80" t="s">
        <v>14</v>
      </c>
      <c r="F80" t="s">
        <v>12</v>
      </c>
      <c r="G80" t="s">
        <v>10</v>
      </c>
      <c r="H80" s="3">
        <v>1</v>
      </c>
    </row>
    <row r="81" spans="1:8" ht="20.100000000000001" customHeight="1">
      <c r="A81" t="s">
        <v>93</v>
      </c>
      <c r="B81" s="3">
        <v>63</v>
      </c>
      <c r="C81" s="2">
        <v>3200000</v>
      </c>
      <c r="D81" s="2">
        <v>6700000</v>
      </c>
      <c r="E81" t="s">
        <v>31</v>
      </c>
      <c r="F81" t="s">
        <v>10</v>
      </c>
      <c r="G81" t="s">
        <v>10</v>
      </c>
      <c r="H81" s="3">
        <v>0</v>
      </c>
    </row>
    <row r="82" spans="1:8" ht="20.100000000000001" customHeight="1">
      <c r="A82" t="s">
        <v>94</v>
      </c>
      <c r="B82" s="3">
        <v>31</v>
      </c>
      <c r="C82" s="2">
        <v>6200000</v>
      </c>
      <c r="D82" s="2">
        <v>36000000</v>
      </c>
      <c r="E82" t="s">
        <v>14</v>
      </c>
      <c r="F82" t="s">
        <v>10</v>
      </c>
      <c r="G82" t="s">
        <v>12</v>
      </c>
      <c r="H82" s="3">
        <v>1</v>
      </c>
    </row>
    <row r="83" spans="1:8" ht="20.100000000000001" customHeight="1">
      <c r="A83" t="s">
        <v>95</v>
      </c>
      <c r="B83" s="3">
        <v>70</v>
      </c>
      <c r="C83" s="2">
        <v>3600000</v>
      </c>
      <c r="D83" s="2">
        <v>22000000</v>
      </c>
      <c r="E83" t="s">
        <v>31</v>
      </c>
      <c r="F83" t="s">
        <v>12</v>
      </c>
      <c r="G83" t="s">
        <v>10</v>
      </c>
      <c r="H83" s="3">
        <v>1</v>
      </c>
    </row>
    <row r="84" spans="1:8" ht="20.100000000000001" customHeight="1">
      <c r="A84" t="s">
        <v>96</v>
      </c>
      <c r="B84" s="3">
        <v>44</v>
      </c>
      <c r="C84" s="2">
        <v>8500000</v>
      </c>
      <c r="D84" s="2">
        <v>17000000</v>
      </c>
      <c r="E84" t="s">
        <v>9</v>
      </c>
      <c r="F84" t="s">
        <v>12</v>
      </c>
      <c r="G84" t="s">
        <v>10</v>
      </c>
      <c r="H84" s="3">
        <v>0</v>
      </c>
    </row>
    <row r="85" spans="1:8" ht="20.100000000000001" customHeight="1">
      <c r="A85" t="s">
        <v>97</v>
      </c>
      <c r="B85" s="3">
        <v>46</v>
      </c>
      <c r="C85" s="2">
        <v>12500000</v>
      </c>
      <c r="D85" s="2">
        <v>21600000</v>
      </c>
      <c r="E85" t="s">
        <v>16</v>
      </c>
      <c r="F85" t="s">
        <v>10</v>
      </c>
      <c r="G85" t="s">
        <v>10</v>
      </c>
      <c r="H85" s="3">
        <v>0</v>
      </c>
    </row>
    <row r="86" spans="1:8" ht="20.100000000000001" customHeight="1">
      <c r="A86" t="s">
        <v>98</v>
      </c>
      <c r="B86" s="3">
        <v>21</v>
      </c>
      <c r="C86" s="2">
        <v>4200000</v>
      </c>
      <c r="D86" s="2">
        <v>20300000</v>
      </c>
      <c r="E86" t="s">
        <v>9</v>
      </c>
      <c r="F86" t="s">
        <v>12</v>
      </c>
      <c r="G86" t="s">
        <v>10</v>
      </c>
      <c r="H86" s="3">
        <v>0</v>
      </c>
    </row>
    <row r="87" spans="1:8" ht="20.100000000000001" customHeight="1">
      <c r="A87" t="s">
        <v>99</v>
      </c>
      <c r="B87" s="3">
        <v>42</v>
      </c>
      <c r="C87" s="2">
        <v>4700000</v>
      </c>
      <c r="D87" s="2">
        <v>30400000</v>
      </c>
      <c r="E87" t="s">
        <v>9</v>
      </c>
      <c r="F87" t="s">
        <v>12</v>
      </c>
      <c r="G87" t="s">
        <v>10</v>
      </c>
      <c r="H87" s="3">
        <v>0</v>
      </c>
    </row>
    <row r="88" spans="1:8" ht="20.100000000000001" customHeight="1">
      <c r="A88" t="s">
        <v>100</v>
      </c>
      <c r="B88" s="3">
        <v>21</v>
      </c>
      <c r="C88" s="2">
        <v>2700000</v>
      </c>
      <c r="D88" s="2">
        <v>6700000</v>
      </c>
      <c r="E88" t="s">
        <v>16</v>
      </c>
      <c r="F88" t="s">
        <v>10</v>
      </c>
      <c r="G88" t="s">
        <v>12</v>
      </c>
      <c r="H88" s="3">
        <v>0</v>
      </c>
    </row>
    <row r="89" spans="1:8" ht="20.100000000000001" customHeight="1">
      <c r="A89" t="s">
        <v>101</v>
      </c>
      <c r="B89" s="3">
        <v>48</v>
      </c>
      <c r="C89" s="2">
        <v>4800000</v>
      </c>
      <c r="D89" s="2">
        <v>4400000</v>
      </c>
      <c r="E89" t="s">
        <v>9</v>
      </c>
      <c r="F89" t="s">
        <v>12</v>
      </c>
      <c r="G89" t="s">
        <v>10</v>
      </c>
      <c r="H89" s="3">
        <v>0</v>
      </c>
    </row>
    <row r="90" spans="1:8" ht="20.100000000000001" customHeight="1">
      <c r="A90" t="s">
        <v>102</v>
      </c>
      <c r="B90" s="3">
        <v>64</v>
      </c>
      <c r="C90" s="2">
        <v>5100000</v>
      </c>
      <c r="D90" s="2">
        <v>16000000</v>
      </c>
      <c r="E90" t="s">
        <v>31</v>
      </c>
      <c r="F90" t="s">
        <v>12</v>
      </c>
      <c r="G90" t="s">
        <v>12</v>
      </c>
      <c r="H90" s="3">
        <v>1</v>
      </c>
    </row>
    <row r="91" spans="1:8" ht="20.100000000000001" customHeight="1">
      <c r="A91" t="s">
        <v>103</v>
      </c>
      <c r="B91" s="3">
        <v>38</v>
      </c>
      <c r="C91" s="2">
        <v>4300000</v>
      </c>
      <c r="D91" s="2">
        <v>23300000</v>
      </c>
      <c r="E91" t="s">
        <v>9</v>
      </c>
      <c r="F91" t="s">
        <v>10</v>
      </c>
      <c r="G91" t="s">
        <v>12</v>
      </c>
      <c r="H91" s="3">
        <v>1</v>
      </c>
    </row>
    <row r="92" spans="1:8" ht="20.100000000000001" customHeight="1">
      <c r="A92" t="s">
        <v>104</v>
      </c>
      <c r="B92" s="3">
        <v>45</v>
      </c>
      <c r="C92" s="2">
        <v>6200000</v>
      </c>
      <c r="D92" s="2">
        <v>4000000</v>
      </c>
      <c r="E92" t="s">
        <v>14</v>
      </c>
      <c r="F92" t="s">
        <v>12</v>
      </c>
      <c r="G92" t="s">
        <v>12</v>
      </c>
      <c r="H92" s="3">
        <v>0</v>
      </c>
    </row>
    <row r="93" spans="1:8" ht="20.100000000000001" customHeight="1">
      <c r="A93" t="s">
        <v>105</v>
      </c>
      <c r="B93" s="3">
        <v>36</v>
      </c>
      <c r="C93" s="2">
        <v>5300000</v>
      </c>
      <c r="D93" s="2">
        <v>35100000</v>
      </c>
      <c r="E93" t="s">
        <v>9</v>
      </c>
      <c r="F93" t="s">
        <v>10</v>
      </c>
      <c r="G93" t="s">
        <v>12</v>
      </c>
      <c r="H93" s="3">
        <v>0</v>
      </c>
    </row>
    <row r="94" spans="1:8" ht="20.100000000000001" customHeight="1">
      <c r="A94" t="s">
        <v>106</v>
      </c>
      <c r="B94" s="3">
        <v>50</v>
      </c>
      <c r="C94" s="2">
        <v>7200000</v>
      </c>
      <c r="D94" s="2">
        <v>49300000</v>
      </c>
      <c r="E94" t="s">
        <v>9</v>
      </c>
      <c r="F94" t="s">
        <v>12</v>
      </c>
      <c r="G94" t="s">
        <v>12</v>
      </c>
      <c r="H94" s="3">
        <v>0</v>
      </c>
    </row>
    <row r="95" spans="1:8" ht="20.100000000000001" customHeight="1">
      <c r="A95" t="s">
        <v>107</v>
      </c>
      <c r="B95" s="3">
        <v>70</v>
      </c>
      <c r="C95" s="2">
        <v>6000000</v>
      </c>
      <c r="D95" s="2">
        <v>23700000</v>
      </c>
      <c r="E95" t="s">
        <v>9</v>
      </c>
      <c r="F95" t="s">
        <v>12</v>
      </c>
      <c r="G95" t="s">
        <v>12</v>
      </c>
      <c r="H95" s="3">
        <v>1</v>
      </c>
    </row>
    <row r="96" spans="1:8" ht="20.100000000000001" customHeight="1">
      <c r="A96" t="s">
        <v>108</v>
      </c>
      <c r="B96" s="3">
        <v>41</v>
      </c>
      <c r="C96" s="2">
        <v>7800000</v>
      </c>
      <c r="D96" s="2">
        <v>14200000</v>
      </c>
      <c r="E96" t="s">
        <v>9</v>
      </c>
      <c r="F96" t="s">
        <v>10</v>
      </c>
      <c r="G96" t="s">
        <v>10</v>
      </c>
      <c r="H96" s="3">
        <v>1</v>
      </c>
    </row>
    <row r="97" spans="1:8" ht="20.100000000000001" customHeight="1">
      <c r="A97" t="s">
        <v>109</v>
      </c>
      <c r="B97" s="3">
        <v>45</v>
      </c>
      <c r="C97" s="2">
        <v>7600000</v>
      </c>
      <c r="D97" s="2">
        <v>19400000</v>
      </c>
      <c r="E97" t="s">
        <v>9</v>
      </c>
      <c r="F97" t="s">
        <v>12</v>
      </c>
      <c r="G97" t="s">
        <v>10</v>
      </c>
      <c r="H97" s="3">
        <v>1</v>
      </c>
    </row>
    <row r="98" spans="1:8" ht="20.100000000000001" customHeight="1">
      <c r="A98" t="s">
        <v>110</v>
      </c>
      <c r="B98" s="3">
        <v>65</v>
      </c>
      <c r="C98" s="2">
        <v>8600000</v>
      </c>
      <c r="D98" s="2">
        <v>98900000</v>
      </c>
      <c r="E98" t="s">
        <v>14</v>
      </c>
      <c r="F98" t="s">
        <v>12</v>
      </c>
      <c r="G98" t="s">
        <v>12</v>
      </c>
      <c r="H98" s="3">
        <v>1</v>
      </c>
    </row>
    <row r="99" spans="1:8" ht="20.100000000000001" customHeight="1">
      <c r="A99" t="s">
        <v>111</v>
      </c>
      <c r="B99" s="3">
        <v>59</v>
      </c>
      <c r="C99" s="2">
        <v>5000000</v>
      </c>
      <c r="D99" s="2">
        <v>6500000</v>
      </c>
      <c r="E99" t="s">
        <v>9</v>
      </c>
      <c r="F99" t="s">
        <v>12</v>
      </c>
      <c r="G99" t="s">
        <v>10</v>
      </c>
      <c r="H99" s="3">
        <v>0</v>
      </c>
    </row>
    <row r="100" spans="1:8" ht="20.100000000000001" customHeight="1">
      <c r="A100" t="s">
        <v>112</v>
      </c>
      <c r="B100" s="3">
        <v>32</v>
      </c>
      <c r="C100" s="2">
        <v>7200000</v>
      </c>
      <c r="D100" s="2">
        <v>25600000</v>
      </c>
      <c r="E100" t="s">
        <v>14</v>
      </c>
      <c r="F100" t="s">
        <v>12</v>
      </c>
      <c r="G100" t="s">
        <v>10</v>
      </c>
      <c r="H100" s="3">
        <v>0</v>
      </c>
    </row>
    <row r="101" spans="1:8" ht="20.100000000000001" customHeight="1">
      <c r="A101" t="s">
        <v>113</v>
      </c>
      <c r="B101" s="3">
        <v>35</v>
      </c>
      <c r="C101" s="2">
        <v>7500000</v>
      </c>
      <c r="D101" s="2">
        <v>34200000</v>
      </c>
      <c r="E101" t="s">
        <v>14</v>
      </c>
      <c r="F101" t="s">
        <v>12</v>
      </c>
      <c r="G101" t="s">
        <v>12</v>
      </c>
      <c r="H101" s="3">
        <v>1</v>
      </c>
    </row>
    <row r="102" spans="1:8" ht="20.100000000000001" customHeight="1">
      <c r="A102" t="s">
        <v>114</v>
      </c>
      <c r="B102" s="3">
        <v>24</v>
      </c>
      <c r="C102" s="2">
        <v>4700000</v>
      </c>
      <c r="D102" s="2">
        <v>11100000</v>
      </c>
      <c r="E102" t="s">
        <v>16</v>
      </c>
      <c r="F102" t="s">
        <v>12</v>
      </c>
      <c r="G102" t="s">
        <v>12</v>
      </c>
      <c r="H102" s="3">
        <v>0</v>
      </c>
    </row>
    <row r="103" spans="1:8" ht="20.100000000000001" customHeight="1">
      <c r="A103" t="s">
        <v>115</v>
      </c>
      <c r="B103" s="3">
        <v>58</v>
      </c>
      <c r="C103" s="2">
        <v>6100000</v>
      </c>
      <c r="D103" s="2">
        <v>8000000</v>
      </c>
      <c r="E103" t="s">
        <v>16</v>
      </c>
      <c r="F103" t="s">
        <v>12</v>
      </c>
      <c r="G103" t="s">
        <v>12</v>
      </c>
      <c r="H103" s="3">
        <v>1</v>
      </c>
    </row>
    <row r="104" spans="1:8" ht="20.100000000000001" customHeight="1">
      <c r="A104" t="s">
        <v>116</v>
      </c>
      <c r="B104" s="3">
        <v>21</v>
      </c>
      <c r="C104" s="2">
        <v>4200000</v>
      </c>
      <c r="D104" s="2">
        <v>16400000</v>
      </c>
      <c r="E104" t="s">
        <v>9</v>
      </c>
      <c r="F104" t="s">
        <v>12</v>
      </c>
      <c r="G104" t="s">
        <v>12</v>
      </c>
      <c r="H104" s="3">
        <v>0</v>
      </c>
    </row>
    <row r="105" spans="1:8" ht="20.100000000000001" customHeight="1">
      <c r="A105" t="s">
        <v>117</v>
      </c>
      <c r="B105" s="3">
        <v>56</v>
      </c>
      <c r="C105" s="2">
        <v>12400000</v>
      </c>
      <c r="D105" s="2">
        <v>23200000</v>
      </c>
      <c r="E105" t="s">
        <v>16</v>
      </c>
      <c r="F105" t="s">
        <v>12</v>
      </c>
      <c r="G105" t="s">
        <v>12</v>
      </c>
      <c r="H105" s="3">
        <v>0</v>
      </c>
    </row>
    <row r="106" spans="1:8" ht="20.100000000000001" customHeight="1">
      <c r="A106" t="s">
        <v>118</v>
      </c>
      <c r="B106" s="3">
        <v>24</v>
      </c>
      <c r="C106" s="2">
        <v>8400000</v>
      </c>
      <c r="D106" s="2">
        <v>18200000</v>
      </c>
      <c r="E106" t="s">
        <v>9</v>
      </c>
      <c r="F106" t="s">
        <v>10</v>
      </c>
      <c r="G106" t="s">
        <v>12</v>
      </c>
      <c r="H106" s="3">
        <v>0</v>
      </c>
    </row>
    <row r="107" spans="1:8" ht="20.100000000000001" customHeight="1">
      <c r="A107" t="s">
        <v>119</v>
      </c>
      <c r="B107" s="3">
        <v>45</v>
      </c>
      <c r="C107" s="2">
        <v>3600000</v>
      </c>
      <c r="D107" s="2">
        <v>4900000</v>
      </c>
      <c r="E107" t="s">
        <v>9</v>
      </c>
      <c r="F107" t="s">
        <v>10</v>
      </c>
      <c r="G107" t="s">
        <v>12</v>
      </c>
      <c r="H107" s="3">
        <v>1</v>
      </c>
    </row>
    <row r="108" spans="1:8" ht="20.100000000000001" customHeight="1">
      <c r="A108" t="s">
        <v>120</v>
      </c>
      <c r="B108" s="3">
        <v>34</v>
      </c>
      <c r="C108" s="2">
        <v>7500000</v>
      </c>
      <c r="D108" s="2">
        <v>14100000</v>
      </c>
      <c r="E108" t="s">
        <v>9</v>
      </c>
      <c r="F108" t="s">
        <v>10</v>
      </c>
      <c r="G108" t="s">
        <v>12</v>
      </c>
      <c r="H108" s="3">
        <v>0</v>
      </c>
    </row>
    <row r="109" spans="1:8" ht="20.100000000000001" customHeight="1">
      <c r="A109" t="s">
        <v>121</v>
      </c>
      <c r="B109" s="3">
        <v>48</v>
      </c>
      <c r="C109" s="2">
        <v>6900000</v>
      </c>
      <c r="D109" s="2">
        <v>8600000</v>
      </c>
      <c r="E109" t="s">
        <v>16</v>
      </c>
      <c r="F109" t="s">
        <v>12</v>
      </c>
      <c r="G109" t="s">
        <v>12</v>
      </c>
      <c r="H109" s="3">
        <v>0</v>
      </c>
    </row>
    <row r="110" spans="1:8" ht="20.100000000000001" customHeight="1">
      <c r="A110" t="s">
        <v>122</v>
      </c>
      <c r="B110" s="3">
        <v>33</v>
      </c>
      <c r="C110" s="2">
        <v>6000000</v>
      </c>
      <c r="D110" s="2">
        <v>31100000</v>
      </c>
      <c r="E110" t="s">
        <v>14</v>
      </c>
      <c r="F110" t="s">
        <v>10</v>
      </c>
      <c r="G110" t="s">
        <v>10</v>
      </c>
      <c r="H110" s="3">
        <v>0</v>
      </c>
    </row>
    <row r="111" spans="1:8" ht="20.100000000000001" customHeight="1">
      <c r="A111" t="s">
        <v>123</v>
      </c>
      <c r="B111" s="3">
        <v>29</v>
      </c>
      <c r="C111" s="2">
        <v>9800000</v>
      </c>
      <c r="D111" s="2">
        <v>65000000</v>
      </c>
      <c r="E111" t="s">
        <v>16</v>
      </c>
      <c r="F111" t="s">
        <v>10</v>
      </c>
      <c r="G111" t="s">
        <v>10</v>
      </c>
      <c r="H111" s="3">
        <v>0</v>
      </c>
    </row>
    <row r="112" spans="1:8" ht="20.100000000000001" customHeight="1">
      <c r="A112" t="s">
        <v>124</v>
      </c>
      <c r="B112" s="3">
        <v>29</v>
      </c>
      <c r="C112" s="2">
        <v>4600000</v>
      </c>
      <c r="D112" s="2">
        <v>14900000</v>
      </c>
      <c r="E112" t="s">
        <v>9</v>
      </c>
      <c r="F112" t="s">
        <v>12</v>
      </c>
      <c r="G112" t="s">
        <v>12</v>
      </c>
      <c r="H112" s="3">
        <v>0</v>
      </c>
    </row>
    <row r="113" spans="1:8" ht="20.100000000000001" customHeight="1">
      <c r="A113" t="s">
        <v>125</v>
      </c>
      <c r="B113" s="3">
        <v>32</v>
      </c>
      <c r="C113" s="2">
        <v>9800000</v>
      </c>
      <c r="D113" s="2">
        <v>29700000</v>
      </c>
      <c r="E113" t="s">
        <v>16</v>
      </c>
      <c r="F113" t="s">
        <v>10</v>
      </c>
      <c r="G113" t="s">
        <v>12</v>
      </c>
      <c r="H113" s="3">
        <v>0</v>
      </c>
    </row>
    <row r="114" spans="1:8" ht="20.100000000000001" customHeight="1">
      <c r="A114" t="s">
        <v>126</v>
      </c>
      <c r="B114" s="3">
        <v>32</v>
      </c>
      <c r="C114" s="2">
        <v>6800000</v>
      </c>
      <c r="D114" s="2">
        <v>3600000</v>
      </c>
      <c r="E114" t="s">
        <v>14</v>
      </c>
      <c r="F114" t="s">
        <v>12</v>
      </c>
      <c r="G114" t="s">
        <v>12</v>
      </c>
      <c r="H114" s="3">
        <v>0</v>
      </c>
    </row>
    <row r="115" spans="1:8" ht="20.100000000000001" customHeight="1">
      <c r="A115" t="s">
        <v>127</v>
      </c>
      <c r="B115" s="3">
        <v>49</v>
      </c>
      <c r="C115" s="2">
        <v>7700000</v>
      </c>
      <c r="D115" s="2">
        <v>67000000</v>
      </c>
      <c r="E115" t="s">
        <v>14</v>
      </c>
      <c r="F115" t="s">
        <v>12</v>
      </c>
      <c r="G115" t="s">
        <v>10</v>
      </c>
      <c r="H115" s="3">
        <v>1</v>
      </c>
    </row>
    <row r="116" spans="1:8" ht="20.100000000000001" customHeight="1">
      <c r="A116" t="s">
        <v>128</v>
      </c>
      <c r="B116" s="3">
        <v>39</v>
      </c>
      <c r="C116" s="2">
        <v>6400000</v>
      </c>
      <c r="D116" s="2">
        <v>19800000</v>
      </c>
      <c r="E116" t="s">
        <v>9</v>
      </c>
      <c r="F116" t="s">
        <v>12</v>
      </c>
      <c r="G116" t="s">
        <v>10</v>
      </c>
      <c r="H116" s="3">
        <v>0</v>
      </c>
    </row>
    <row r="117" spans="1:8" ht="20.100000000000001" customHeight="1">
      <c r="A117" t="s">
        <v>129</v>
      </c>
      <c r="B117" s="3">
        <v>31</v>
      </c>
      <c r="C117" s="2">
        <v>6500000</v>
      </c>
      <c r="D117" s="2">
        <v>31900000</v>
      </c>
      <c r="E117" t="s">
        <v>9</v>
      </c>
      <c r="F117" t="s">
        <v>10</v>
      </c>
      <c r="G117" t="s">
        <v>10</v>
      </c>
      <c r="H117" s="3">
        <v>0</v>
      </c>
    </row>
    <row r="118" spans="1:8" ht="20.100000000000001" customHeight="1">
      <c r="A118" t="s">
        <v>130</v>
      </c>
      <c r="B118" s="3">
        <v>29</v>
      </c>
      <c r="C118" s="2">
        <v>6000000</v>
      </c>
      <c r="D118" s="2">
        <v>9600000</v>
      </c>
      <c r="E118" t="s">
        <v>9</v>
      </c>
      <c r="F118" t="s">
        <v>10</v>
      </c>
      <c r="G118" t="s">
        <v>12</v>
      </c>
      <c r="H118" s="3">
        <v>0</v>
      </c>
    </row>
    <row r="119" spans="1:8" ht="20.100000000000001" customHeight="1">
      <c r="A119" t="s">
        <v>131</v>
      </c>
      <c r="B119" s="3">
        <v>34</v>
      </c>
      <c r="C119" s="2">
        <v>4500000</v>
      </c>
      <c r="D119" s="2">
        <v>53400000</v>
      </c>
      <c r="E119" t="s">
        <v>9</v>
      </c>
      <c r="F119" t="s">
        <v>10</v>
      </c>
      <c r="G119" t="s">
        <v>10</v>
      </c>
      <c r="H119" s="3">
        <v>0</v>
      </c>
    </row>
    <row r="120" spans="1:8" ht="20.100000000000001" customHeight="1">
      <c r="A120" t="s">
        <v>132</v>
      </c>
      <c r="B120" s="3">
        <v>65</v>
      </c>
      <c r="C120" s="2">
        <v>7400000</v>
      </c>
      <c r="D120" s="2">
        <v>146100000</v>
      </c>
      <c r="E120" t="s">
        <v>14</v>
      </c>
      <c r="F120" t="s">
        <v>10</v>
      </c>
      <c r="G120" t="s">
        <v>10</v>
      </c>
      <c r="H120" s="3">
        <v>1</v>
      </c>
    </row>
    <row r="121" spans="1:8" ht="20.100000000000001" customHeight="1">
      <c r="A121" t="s">
        <v>133</v>
      </c>
      <c r="B121" s="3">
        <v>21</v>
      </c>
      <c r="C121" s="2">
        <v>8500000</v>
      </c>
      <c r="D121" s="2">
        <v>17600000</v>
      </c>
      <c r="E121" t="s">
        <v>9</v>
      </c>
      <c r="F121" t="s">
        <v>10</v>
      </c>
      <c r="G121" t="s">
        <v>10</v>
      </c>
      <c r="H121" s="3">
        <v>0</v>
      </c>
    </row>
    <row r="122" spans="1:8" ht="20.100000000000001" customHeight="1">
      <c r="A122" t="s">
        <v>134</v>
      </c>
      <c r="B122" s="3">
        <v>30</v>
      </c>
      <c r="C122" s="2">
        <v>4300000</v>
      </c>
      <c r="D122" s="2">
        <v>9400000</v>
      </c>
      <c r="E122" t="s">
        <v>9</v>
      </c>
      <c r="F122" t="s">
        <v>12</v>
      </c>
      <c r="G122" t="s">
        <v>10</v>
      </c>
      <c r="H122" s="3">
        <v>0</v>
      </c>
    </row>
    <row r="123" spans="1:8" ht="20.100000000000001" customHeight="1">
      <c r="A123" t="s">
        <v>135</v>
      </c>
      <c r="B123" s="3">
        <v>34</v>
      </c>
      <c r="C123" s="2">
        <v>5600000</v>
      </c>
      <c r="D123" s="2">
        <v>31000000</v>
      </c>
      <c r="E123" t="s">
        <v>9</v>
      </c>
      <c r="F123" t="s">
        <v>12</v>
      </c>
      <c r="G123" t="s">
        <v>10</v>
      </c>
      <c r="H123" s="3">
        <v>0</v>
      </c>
    </row>
    <row r="124" spans="1:8" ht="20.100000000000001" customHeight="1">
      <c r="A124" t="s">
        <v>136</v>
      </c>
      <c r="B124" s="3">
        <v>25</v>
      </c>
      <c r="C124" s="2">
        <v>11200000</v>
      </c>
      <c r="D124" s="2">
        <v>43100000</v>
      </c>
      <c r="E124" t="s">
        <v>14</v>
      </c>
      <c r="F124" t="s">
        <v>10</v>
      </c>
      <c r="G124" t="s">
        <v>12</v>
      </c>
      <c r="H124" s="3">
        <v>0</v>
      </c>
    </row>
    <row r="125" spans="1:8" ht="20.100000000000001" customHeight="1">
      <c r="A125" t="s">
        <v>137</v>
      </c>
      <c r="B125" s="3">
        <v>43</v>
      </c>
      <c r="C125" s="2">
        <v>7000000</v>
      </c>
      <c r="D125" s="2">
        <v>22100000</v>
      </c>
      <c r="E125" t="s">
        <v>16</v>
      </c>
      <c r="F125" t="s">
        <v>12</v>
      </c>
      <c r="G125" t="s">
        <v>12</v>
      </c>
      <c r="H125" s="3">
        <v>0</v>
      </c>
    </row>
    <row r="126" spans="1:8" ht="20.100000000000001" customHeight="1">
      <c r="A126" t="s">
        <v>138</v>
      </c>
      <c r="B126" s="3">
        <v>27</v>
      </c>
      <c r="C126" s="2">
        <v>6500000</v>
      </c>
      <c r="D126" s="2">
        <v>11600000</v>
      </c>
      <c r="E126" t="s">
        <v>14</v>
      </c>
      <c r="F126" t="s">
        <v>12</v>
      </c>
      <c r="G126" t="s">
        <v>12</v>
      </c>
      <c r="H126" s="3">
        <v>0</v>
      </c>
    </row>
    <row r="127" spans="1:8" ht="20.100000000000001" customHeight="1">
      <c r="A127" t="s">
        <v>139</v>
      </c>
      <c r="B127" s="3">
        <v>53</v>
      </c>
      <c r="C127" s="2">
        <v>4200000</v>
      </c>
      <c r="D127" s="2">
        <v>21300000</v>
      </c>
      <c r="E127" t="s">
        <v>16</v>
      </c>
      <c r="F127" t="s">
        <v>12</v>
      </c>
      <c r="G127" t="s">
        <v>10</v>
      </c>
      <c r="H127" s="3">
        <v>0</v>
      </c>
    </row>
    <row r="128" spans="1:8" ht="20.100000000000001" customHeight="1">
      <c r="A128" t="s">
        <v>140</v>
      </c>
      <c r="B128" s="3">
        <v>55</v>
      </c>
      <c r="C128" s="2">
        <v>4300000</v>
      </c>
      <c r="D128" s="2">
        <v>17200000</v>
      </c>
      <c r="E128" t="s">
        <v>16</v>
      </c>
      <c r="F128" t="s">
        <v>12</v>
      </c>
      <c r="G128" t="s">
        <v>12</v>
      </c>
      <c r="H128" s="3">
        <v>0</v>
      </c>
    </row>
    <row r="129" spans="1:8" ht="20.100000000000001" customHeight="1">
      <c r="A129" t="s">
        <v>141</v>
      </c>
      <c r="B129" s="3">
        <v>60</v>
      </c>
      <c r="C129" s="2">
        <v>5200000</v>
      </c>
      <c r="D129" s="2">
        <v>82100000</v>
      </c>
      <c r="E129" t="s">
        <v>16</v>
      </c>
      <c r="F129" t="s">
        <v>10</v>
      </c>
      <c r="G129" t="s">
        <v>10</v>
      </c>
      <c r="H129" s="3">
        <v>1</v>
      </c>
    </row>
    <row r="130" spans="1:8" ht="20.100000000000001" customHeight="1">
      <c r="A130" t="s">
        <v>142</v>
      </c>
      <c r="B130" s="3">
        <v>51</v>
      </c>
      <c r="C130" s="2">
        <v>2600000</v>
      </c>
      <c r="D130" s="2">
        <v>2100000</v>
      </c>
      <c r="E130" t="s">
        <v>31</v>
      </c>
      <c r="F130" t="s">
        <v>10</v>
      </c>
      <c r="G130" t="s">
        <v>12</v>
      </c>
      <c r="H130" s="3">
        <v>0</v>
      </c>
    </row>
    <row r="131" spans="1:8" ht="20.100000000000001" customHeight="1">
      <c r="A131" t="s">
        <v>143</v>
      </c>
      <c r="B131" s="3">
        <v>63</v>
      </c>
      <c r="C131" s="2">
        <v>5600000</v>
      </c>
      <c r="D131" s="2">
        <v>29700000</v>
      </c>
      <c r="E131" t="s">
        <v>31</v>
      </c>
      <c r="F131" t="s">
        <v>10</v>
      </c>
      <c r="G131" t="s">
        <v>12</v>
      </c>
      <c r="H131" s="3">
        <v>0</v>
      </c>
    </row>
    <row r="132" spans="1:8" ht="20.100000000000001" customHeight="1">
      <c r="A132" t="s">
        <v>144</v>
      </c>
      <c r="B132" s="3">
        <v>41</v>
      </c>
      <c r="C132" s="2">
        <v>6900000</v>
      </c>
      <c r="D132" s="2">
        <v>22200000</v>
      </c>
      <c r="E132" t="s">
        <v>16</v>
      </c>
      <c r="F132" t="s">
        <v>10</v>
      </c>
      <c r="G132" t="s">
        <v>12</v>
      </c>
      <c r="H132" s="3">
        <v>0</v>
      </c>
    </row>
    <row r="133" spans="1:8" ht="20.100000000000001" customHeight="1">
      <c r="A133" t="s">
        <v>145</v>
      </c>
      <c r="B133" s="3">
        <v>42</v>
      </c>
      <c r="C133" s="2">
        <v>6600000</v>
      </c>
      <c r="D133" s="2">
        <v>10800000</v>
      </c>
      <c r="E133" t="s">
        <v>9</v>
      </c>
      <c r="F133" t="s">
        <v>12</v>
      </c>
      <c r="G133" t="s">
        <v>12</v>
      </c>
      <c r="H133" s="3">
        <v>0</v>
      </c>
    </row>
    <row r="134" spans="1:8" ht="20.100000000000001" customHeight="1">
      <c r="A134" t="s">
        <v>146</v>
      </c>
      <c r="B134" s="3">
        <v>32</v>
      </c>
      <c r="C134" s="2">
        <v>6600000</v>
      </c>
      <c r="D134" s="2">
        <v>10900000</v>
      </c>
      <c r="E134" t="s">
        <v>9</v>
      </c>
      <c r="F134" t="s">
        <v>10</v>
      </c>
      <c r="G134" t="s">
        <v>10</v>
      </c>
      <c r="H134" s="3">
        <v>0</v>
      </c>
    </row>
    <row r="135" spans="1:8" ht="20.100000000000001" customHeight="1">
      <c r="A135" t="s">
        <v>147</v>
      </c>
      <c r="B135" s="3">
        <v>43</v>
      </c>
      <c r="C135" s="2">
        <v>6000000</v>
      </c>
      <c r="D135" s="2">
        <v>33600000</v>
      </c>
      <c r="E135" t="s">
        <v>16</v>
      </c>
      <c r="F135" t="s">
        <v>12</v>
      </c>
      <c r="G135" t="s">
        <v>12</v>
      </c>
      <c r="H135" s="3">
        <v>1</v>
      </c>
    </row>
    <row r="136" spans="1:8" ht="20.100000000000001" customHeight="1">
      <c r="A136" t="s">
        <v>148</v>
      </c>
      <c r="B136" s="3">
        <v>36</v>
      </c>
      <c r="C136" s="2">
        <v>5500000</v>
      </c>
      <c r="D136" s="2">
        <v>29700000</v>
      </c>
      <c r="E136" t="s">
        <v>9</v>
      </c>
      <c r="F136" t="s">
        <v>12</v>
      </c>
      <c r="G136" t="s">
        <v>10</v>
      </c>
      <c r="H136" s="3">
        <v>0</v>
      </c>
    </row>
    <row r="137" spans="1:8" ht="20.100000000000001" customHeight="1">
      <c r="A137" t="s">
        <v>149</v>
      </c>
      <c r="B137" s="3">
        <v>36</v>
      </c>
      <c r="C137" s="2">
        <v>8600000</v>
      </c>
      <c r="D137" s="2">
        <v>129400000</v>
      </c>
      <c r="E137" t="s">
        <v>14</v>
      </c>
      <c r="F137" t="s">
        <v>12</v>
      </c>
      <c r="G137" t="s">
        <v>10</v>
      </c>
      <c r="H137" s="3">
        <v>1</v>
      </c>
    </row>
    <row r="138" spans="1:8" ht="20.100000000000001" customHeight="1">
      <c r="A138" t="s">
        <v>150</v>
      </c>
      <c r="B138" s="3">
        <v>21</v>
      </c>
      <c r="C138" s="2">
        <v>5400000</v>
      </c>
      <c r="D138" s="2">
        <v>5900000</v>
      </c>
      <c r="E138" t="s">
        <v>9</v>
      </c>
      <c r="F138" t="s">
        <v>10</v>
      </c>
      <c r="G138" t="s">
        <v>10</v>
      </c>
      <c r="H138" s="3">
        <v>0</v>
      </c>
    </row>
    <row r="139" spans="1:8" ht="20.100000000000001" customHeight="1">
      <c r="A139" t="s">
        <v>151</v>
      </c>
      <c r="B139" s="3">
        <v>43</v>
      </c>
      <c r="C139" s="2">
        <v>3900000</v>
      </c>
      <c r="D139" s="2">
        <v>17300000</v>
      </c>
      <c r="E139" t="s">
        <v>9</v>
      </c>
      <c r="F139" t="s">
        <v>10</v>
      </c>
      <c r="G139" t="s">
        <v>10</v>
      </c>
      <c r="H139" s="3">
        <v>0</v>
      </c>
    </row>
    <row r="140" spans="1:8" ht="20.100000000000001" customHeight="1">
      <c r="A140" t="s">
        <v>152</v>
      </c>
      <c r="B140" s="3">
        <v>55</v>
      </c>
      <c r="C140" s="2">
        <v>9300000</v>
      </c>
      <c r="D140" s="2">
        <v>78400000</v>
      </c>
      <c r="E140" t="s">
        <v>14</v>
      </c>
      <c r="F140" t="s">
        <v>12</v>
      </c>
      <c r="G140" t="s">
        <v>10</v>
      </c>
      <c r="H140" s="3">
        <v>1</v>
      </c>
    </row>
    <row r="141" spans="1:8" ht="20.100000000000001" customHeight="1">
      <c r="A141" t="s">
        <v>153</v>
      </c>
      <c r="B141" s="3">
        <v>43</v>
      </c>
      <c r="C141" s="2">
        <v>5300000</v>
      </c>
      <c r="D141" s="2">
        <v>5900000</v>
      </c>
      <c r="E141" t="s">
        <v>14</v>
      </c>
      <c r="F141" t="s">
        <v>10</v>
      </c>
      <c r="G141" t="s">
        <v>10</v>
      </c>
      <c r="H141" s="3">
        <v>0</v>
      </c>
    </row>
    <row r="142" spans="1:8" ht="20.100000000000001" customHeight="1">
      <c r="A142" t="s">
        <v>154</v>
      </c>
      <c r="B142" s="3">
        <v>31</v>
      </c>
      <c r="C142" s="2">
        <v>7100000</v>
      </c>
      <c r="D142" s="2">
        <v>46900000</v>
      </c>
      <c r="E142" t="s">
        <v>16</v>
      </c>
      <c r="F142" t="s">
        <v>12</v>
      </c>
      <c r="G142" t="s">
        <v>10</v>
      </c>
      <c r="H142" s="3">
        <v>0</v>
      </c>
    </row>
    <row r="143" spans="1:8" ht="20.100000000000001" customHeight="1">
      <c r="A143" t="s">
        <v>155</v>
      </c>
      <c r="B143" s="3">
        <v>65</v>
      </c>
      <c r="C143" s="2">
        <v>11300000</v>
      </c>
      <c r="D143" s="2">
        <v>130200000</v>
      </c>
      <c r="E143" t="s">
        <v>16</v>
      </c>
      <c r="F143" t="s">
        <v>12</v>
      </c>
      <c r="G143" t="s">
        <v>12</v>
      </c>
      <c r="H143" s="3">
        <v>1</v>
      </c>
    </row>
    <row r="144" spans="1:8" ht="20.100000000000001" customHeight="1">
      <c r="A144" t="s">
        <v>156</v>
      </c>
      <c r="B144" s="3">
        <v>48</v>
      </c>
      <c r="C144" s="2">
        <v>15200000</v>
      </c>
      <c r="D144" s="2">
        <v>66900000</v>
      </c>
      <c r="E144" t="s">
        <v>16</v>
      </c>
      <c r="F144" t="s">
        <v>12</v>
      </c>
      <c r="G144" t="s">
        <v>12</v>
      </c>
      <c r="H144" s="3">
        <v>0</v>
      </c>
    </row>
    <row r="145" spans="1:8" ht="20.100000000000001" customHeight="1">
      <c r="A145" t="s">
        <v>157</v>
      </c>
      <c r="B145" s="3">
        <v>47</v>
      </c>
      <c r="C145" s="2">
        <v>5300000</v>
      </c>
      <c r="D145" s="2">
        <v>6200000</v>
      </c>
      <c r="E145" t="s">
        <v>14</v>
      </c>
      <c r="F145" t="s">
        <v>10</v>
      </c>
      <c r="G145" t="s">
        <v>12</v>
      </c>
      <c r="H145" s="3">
        <v>1</v>
      </c>
    </row>
    <row r="146" spans="1:8" ht="20.100000000000001" customHeight="1">
      <c r="A146" t="s">
        <v>158</v>
      </c>
      <c r="B146" s="3">
        <v>28</v>
      </c>
      <c r="C146" s="2">
        <v>7200000</v>
      </c>
      <c r="D146" s="2">
        <v>42900000</v>
      </c>
      <c r="E146" t="s">
        <v>14</v>
      </c>
      <c r="F146" t="s">
        <v>10</v>
      </c>
      <c r="G146" t="s">
        <v>12</v>
      </c>
      <c r="H146" s="3">
        <v>0</v>
      </c>
    </row>
    <row r="147" spans="1:8" ht="20.100000000000001" customHeight="1">
      <c r="A147" t="s">
        <v>159</v>
      </c>
      <c r="B147" s="3">
        <v>56</v>
      </c>
      <c r="C147" s="2">
        <v>7400000</v>
      </c>
      <c r="D147" s="2">
        <v>146300000</v>
      </c>
      <c r="E147" t="s">
        <v>31</v>
      </c>
      <c r="F147" t="s">
        <v>12</v>
      </c>
      <c r="G147" t="s">
        <v>10</v>
      </c>
      <c r="H147" s="3">
        <v>1</v>
      </c>
    </row>
    <row r="148" spans="1:8" ht="20.100000000000001" customHeight="1">
      <c r="A148" t="s">
        <v>160</v>
      </c>
      <c r="B148" s="3">
        <v>38</v>
      </c>
      <c r="C148" s="2">
        <v>6000000</v>
      </c>
      <c r="D148" s="2">
        <v>18600000</v>
      </c>
      <c r="E148" t="s">
        <v>14</v>
      </c>
      <c r="F148" t="s">
        <v>10</v>
      </c>
      <c r="G148" t="s">
        <v>12</v>
      </c>
      <c r="H148" s="3">
        <v>0</v>
      </c>
    </row>
    <row r="149" spans="1:8" ht="20.100000000000001" customHeight="1">
      <c r="A149" t="s">
        <v>161</v>
      </c>
      <c r="B149" s="3">
        <v>27</v>
      </c>
      <c r="C149" s="2">
        <v>5900000</v>
      </c>
      <c r="D149" s="2">
        <v>36300000</v>
      </c>
      <c r="E149" t="s">
        <v>9</v>
      </c>
      <c r="F149" t="s">
        <v>10</v>
      </c>
      <c r="G149" t="s">
        <v>12</v>
      </c>
      <c r="H149" s="3">
        <v>0</v>
      </c>
    </row>
    <row r="150" spans="1:8" ht="20.100000000000001" customHeight="1">
      <c r="A150" t="s">
        <v>162</v>
      </c>
      <c r="B150" s="3">
        <v>53</v>
      </c>
      <c r="C150" s="2">
        <v>17200000</v>
      </c>
      <c r="D150" s="2">
        <v>44600000</v>
      </c>
      <c r="E150" t="s">
        <v>16</v>
      </c>
      <c r="F150" t="s">
        <v>12</v>
      </c>
      <c r="G150" t="s">
        <v>10</v>
      </c>
      <c r="H150" s="3">
        <v>1</v>
      </c>
    </row>
    <row r="151" spans="1:8" ht="20.100000000000001" customHeight="1">
      <c r="A151" t="s">
        <v>163</v>
      </c>
      <c r="B151" s="3">
        <v>46</v>
      </c>
      <c r="C151" s="2">
        <v>2900000</v>
      </c>
      <c r="D151" s="2">
        <v>48300000</v>
      </c>
      <c r="E151" t="s">
        <v>16</v>
      </c>
      <c r="F151" t="s">
        <v>10</v>
      </c>
      <c r="G151" t="s">
        <v>12</v>
      </c>
      <c r="H151" s="3">
        <v>0</v>
      </c>
    </row>
    <row r="152" spans="1:8" ht="20.100000000000001" customHeight="1">
      <c r="A152" t="s">
        <v>164</v>
      </c>
      <c r="B152" s="3">
        <v>44</v>
      </c>
      <c r="C152" s="2">
        <v>6700000</v>
      </c>
      <c r="D152" s="2">
        <v>37400000</v>
      </c>
      <c r="E152" t="s">
        <v>16</v>
      </c>
      <c r="F152" t="s">
        <v>10</v>
      </c>
      <c r="G152" t="s">
        <v>10</v>
      </c>
      <c r="H152" s="3">
        <v>1</v>
      </c>
    </row>
    <row r="153" spans="1:8" ht="20.100000000000001" customHeight="1">
      <c r="A153" t="s">
        <v>165</v>
      </c>
      <c r="B153" s="3">
        <v>48</v>
      </c>
      <c r="C153" s="2">
        <v>7600000</v>
      </c>
      <c r="D153" s="2">
        <v>52700000</v>
      </c>
      <c r="E153" t="s">
        <v>16</v>
      </c>
      <c r="F153" t="s">
        <v>12</v>
      </c>
      <c r="G153" t="s">
        <v>10</v>
      </c>
      <c r="H153" s="3">
        <v>1</v>
      </c>
    </row>
    <row r="154" spans="1:8" ht="20.100000000000001" customHeight="1">
      <c r="A154" t="s">
        <v>166</v>
      </c>
      <c r="B154" s="3">
        <v>46</v>
      </c>
      <c r="C154" s="2">
        <v>5800000</v>
      </c>
      <c r="D154" s="2">
        <v>19000000</v>
      </c>
      <c r="E154" t="s">
        <v>16</v>
      </c>
      <c r="F154" t="s">
        <v>12</v>
      </c>
      <c r="G154" t="s">
        <v>10</v>
      </c>
      <c r="H154" s="3">
        <v>1</v>
      </c>
    </row>
    <row r="155" spans="1:8" ht="20.100000000000001" customHeight="1">
      <c r="A155" t="s">
        <v>167</v>
      </c>
      <c r="B155" s="3">
        <v>44</v>
      </c>
      <c r="C155" s="2">
        <v>6200000</v>
      </c>
      <c r="D155" s="2">
        <v>35200000</v>
      </c>
      <c r="E155" t="s">
        <v>9</v>
      </c>
      <c r="F155" t="s">
        <v>12</v>
      </c>
      <c r="G155" t="s">
        <v>10</v>
      </c>
      <c r="H155" s="3">
        <v>1</v>
      </c>
    </row>
    <row r="156" spans="1:8" ht="20.100000000000001" customHeight="1">
      <c r="A156" t="s">
        <v>168</v>
      </c>
      <c r="B156" s="3">
        <v>32</v>
      </c>
      <c r="C156" s="2">
        <v>6100000</v>
      </c>
      <c r="D156" s="2">
        <v>35700000</v>
      </c>
      <c r="E156" t="s">
        <v>14</v>
      </c>
      <c r="F156" t="s">
        <v>12</v>
      </c>
      <c r="G156" t="s">
        <v>12</v>
      </c>
      <c r="H156" s="3">
        <v>0</v>
      </c>
    </row>
    <row r="157" spans="1:8" ht="20.100000000000001" customHeight="1">
      <c r="A157" t="s">
        <v>169</v>
      </c>
      <c r="B157" s="3">
        <v>24</v>
      </c>
      <c r="C157" s="2">
        <v>23000000</v>
      </c>
      <c r="D157" s="2">
        <v>43500000</v>
      </c>
      <c r="E157" t="s">
        <v>16</v>
      </c>
      <c r="F157" t="s">
        <v>10</v>
      </c>
      <c r="G157" t="s">
        <v>12</v>
      </c>
      <c r="H157" s="3">
        <v>0</v>
      </c>
    </row>
    <row r="158" spans="1:8" ht="20.100000000000001" customHeight="1">
      <c r="A158" t="s">
        <v>170</v>
      </c>
      <c r="B158" s="3">
        <v>27</v>
      </c>
      <c r="C158" s="2">
        <v>12300000</v>
      </c>
      <c r="D158" s="2">
        <v>155000000</v>
      </c>
      <c r="E158" t="s">
        <v>16</v>
      </c>
      <c r="F158" t="s">
        <v>10</v>
      </c>
      <c r="G158" t="s">
        <v>12</v>
      </c>
      <c r="H158" s="3">
        <v>1</v>
      </c>
    </row>
    <row r="159" spans="1:8" ht="20.100000000000001" customHeight="1">
      <c r="A159" t="s">
        <v>171</v>
      </c>
      <c r="B159" s="3">
        <v>46</v>
      </c>
      <c r="C159" s="2">
        <v>5800000</v>
      </c>
      <c r="D159" s="2">
        <v>37300000</v>
      </c>
      <c r="E159" t="s">
        <v>9</v>
      </c>
      <c r="F159" t="s">
        <v>12</v>
      </c>
      <c r="G159" t="s">
        <v>10</v>
      </c>
      <c r="H159" s="3">
        <v>0</v>
      </c>
    </row>
    <row r="160" spans="1:8" ht="20.100000000000001" customHeight="1">
      <c r="A160" t="s">
        <v>172</v>
      </c>
      <c r="B160" s="3">
        <v>34</v>
      </c>
      <c r="C160" s="2">
        <v>6100000</v>
      </c>
      <c r="D160" s="2">
        <v>23100000</v>
      </c>
      <c r="E160" t="s">
        <v>14</v>
      </c>
      <c r="F160" t="s">
        <v>10</v>
      </c>
      <c r="G160" t="s">
        <v>10</v>
      </c>
      <c r="H160" s="3">
        <v>1</v>
      </c>
    </row>
    <row r="161" spans="1:8" ht="20.100000000000001" customHeight="1">
      <c r="A161" t="s">
        <v>173</v>
      </c>
      <c r="B161" s="3">
        <v>54</v>
      </c>
      <c r="C161" s="2">
        <v>14700000</v>
      </c>
      <c r="D161" s="2">
        <v>53100000</v>
      </c>
      <c r="E161" t="s">
        <v>9</v>
      </c>
      <c r="F161" t="s">
        <v>12</v>
      </c>
      <c r="G161" t="s">
        <v>12</v>
      </c>
      <c r="H161" s="3">
        <v>1</v>
      </c>
    </row>
    <row r="162" spans="1:8" ht="20.100000000000001" customHeight="1">
      <c r="A162" t="s">
        <v>174</v>
      </c>
      <c r="B162" s="3">
        <v>56</v>
      </c>
      <c r="C162" s="2">
        <v>4100000</v>
      </c>
      <c r="D162" s="2">
        <v>14400000</v>
      </c>
      <c r="E162" t="s">
        <v>9</v>
      </c>
      <c r="F162" t="s">
        <v>10</v>
      </c>
      <c r="G162" t="s">
        <v>10</v>
      </c>
      <c r="H162" s="3">
        <v>0</v>
      </c>
    </row>
    <row r="163" spans="1:8" ht="20.100000000000001" customHeight="1">
      <c r="A163" t="s">
        <v>175</v>
      </c>
      <c r="B163" s="3">
        <v>49</v>
      </c>
      <c r="C163" s="2">
        <v>3900000</v>
      </c>
      <c r="D163" s="2">
        <v>19000000</v>
      </c>
      <c r="E163" t="s">
        <v>9</v>
      </c>
      <c r="F163" t="s">
        <v>10</v>
      </c>
      <c r="G163" t="s">
        <v>10</v>
      </c>
      <c r="H163" s="3">
        <v>0</v>
      </c>
    </row>
    <row r="164" spans="1:8" ht="20.100000000000001" customHeight="1">
      <c r="A164" t="s">
        <v>176</v>
      </c>
      <c r="B164" s="3">
        <v>21</v>
      </c>
      <c r="C164" s="2">
        <v>3800000</v>
      </c>
      <c r="D164" s="2">
        <v>10300000</v>
      </c>
      <c r="E164" t="s">
        <v>14</v>
      </c>
      <c r="F164" t="s">
        <v>10</v>
      </c>
      <c r="G164" t="s">
        <v>12</v>
      </c>
      <c r="H164" s="3">
        <v>0</v>
      </c>
    </row>
    <row r="165" spans="1:8" ht="20.100000000000001" customHeight="1">
      <c r="A165" t="s">
        <v>177</v>
      </c>
      <c r="B165" s="3">
        <v>22</v>
      </c>
      <c r="C165" s="2">
        <v>8000000</v>
      </c>
      <c r="D165" s="2">
        <v>2600000</v>
      </c>
      <c r="E165" t="s">
        <v>16</v>
      </c>
      <c r="F165" t="s">
        <v>12</v>
      </c>
      <c r="G165" t="s">
        <v>12</v>
      </c>
      <c r="H165" s="3">
        <v>0</v>
      </c>
    </row>
    <row r="166" spans="1:8" ht="20.100000000000001" customHeight="1">
      <c r="A166" t="s">
        <v>178</v>
      </c>
      <c r="B166" s="3">
        <v>34</v>
      </c>
      <c r="C166" s="2">
        <v>5600000</v>
      </c>
      <c r="D166" s="2">
        <v>29500000</v>
      </c>
      <c r="E166" t="s">
        <v>16</v>
      </c>
      <c r="F166" t="s">
        <v>10</v>
      </c>
      <c r="G166" t="s">
        <v>10</v>
      </c>
      <c r="H166" s="3">
        <v>1</v>
      </c>
    </row>
    <row r="167" spans="1:8" ht="20.100000000000001" customHeight="1">
      <c r="A167" t="s">
        <v>179</v>
      </c>
      <c r="B167" s="3">
        <v>40</v>
      </c>
      <c r="C167" s="2">
        <v>1800000</v>
      </c>
      <c r="D167" s="2">
        <v>7900000</v>
      </c>
      <c r="E167" t="s">
        <v>16</v>
      </c>
      <c r="F167" t="s">
        <v>10</v>
      </c>
      <c r="G167" t="s">
        <v>12</v>
      </c>
      <c r="H167" s="3">
        <v>0</v>
      </c>
    </row>
    <row r="168" spans="1:8" ht="20.100000000000001" customHeight="1">
      <c r="A168" t="s">
        <v>180</v>
      </c>
      <c r="B168" s="3">
        <v>44</v>
      </c>
      <c r="C168" s="2">
        <v>10100000</v>
      </c>
      <c r="D168" s="2">
        <v>23300000</v>
      </c>
      <c r="E168" t="s">
        <v>14</v>
      </c>
      <c r="F168" t="s">
        <v>12</v>
      </c>
      <c r="G168" t="s">
        <v>12</v>
      </c>
      <c r="H168" s="3">
        <v>1</v>
      </c>
    </row>
    <row r="169" spans="1:8" ht="20.100000000000001" customHeight="1">
      <c r="A169" t="s">
        <v>181</v>
      </c>
      <c r="B169" s="3">
        <v>49</v>
      </c>
      <c r="C169" s="2">
        <v>7000000</v>
      </c>
      <c r="D169" s="2">
        <v>47700000</v>
      </c>
      <c r="E169" t="s">
        <v>16</v>
      </c>
      <c r="F169" t="s">
        <v>10</v>
      </c>
      <c r="G169" t="s">
        <v>12</v>
      </c>
      <c r="H169" s="3">
        <v>1</v>
      </c>
    </row>
    <row r="170" spans="1:8" ht="20.100000000000001" customHeight="1">
      <c r="A170" t="s">
        <v>182</v>
      </c>
      <c r="B170" s="3">
        <v>39</v>
      </c>
      <c r="C170" s="2">
        <v>1800000</v>
      </c>
      <c r="D170" s="2">
        <v>4500000</v>
      </c>
      <c r="E170" t="s">
        <v>16</v>
      </c>
      <c r="F170" t="s">
        <v>10</v>
      </c>
      <c r="G170" t="s">
        <v>12</v>
      </c>
      <c r="H170" s="3">
        <v>0</v>
      </c>
    </row>
    <row r="171" spans="1:8" ht="20.100000000000001" customHeight="1">
      <c r="A171" t="s">
        <v>183</v>
      </c>
      <c r="B171" s="3">
        <v>25</v>
      </c>
      <c r="C171" s="2">
        <v>6000000</v>
      </c>
      <c r="D171" s="2">
        <v>12200000</v>
      </c>
      <c r="E171" t="s">
        <v>14</v>
      </c>
      <c r="F171" t="s">
        <v>12</v>
      </c>
      <c r="G171" t="s">
        <v>12</v>
      </c>
      <c r="H171" s="3">
        <v>0</v>
      </c>
    </row>
    <row r="172" spans="1:8" ht="20.100000000000001" customHeight="1">
      <c r="A172" t="s">
        <v>184</v>
      </c>
      <c r="B172" s="3">
        <v>22</v>
      </c>
      <c r="C172" s="2">
        <v>6900000</v>
      </c>
      <c r="D172" s="2">
        <v>19100000</v>
      </c>
      <c r="E172" t="s">
        <v>9</v>
      </c>
      <c r="F172" t="s">
        <v>12</v>
      </c>
      <c r="G172" t="s">
        <v>12</v>
      </c>
      <c r="H172" s="3">
        <v>0</v>
      </c>
    </row>
    <row r="173" spans="1:8" ht="20.100000000000001" customHeight="1">
      <c r="A173" t="s">
        <v>185</v>
      </c>
      <c r="B173" s="3">
        <v>39</v>
      </c>
      <c r="C173" s="2">
        <v>6300000</v>
      </c>
      <c r="D173" s="2">
        <v>103800000</v>
      </c>
      <c r="E173" t="s">
        <v>9</v>
      </c>
      <c r="F173" t="s">
        <v>10</v>
      </c>
      <c r="G173" t="s">
        <v>10</v>
      </c>
      <c r="H173" s="3">
        <v>0</v>
      </c>
    </row>
    <row r="174" spans="1:8" ht="20.100000000000001" customHeight="1">
      <c r="A174" t="s">
        <v>186</v>
      </c>
      <c r="B174" s="3">
        <v>41</v>
      </c>
      <c r="C174" s="2">
        <v>5200000</v>
      </c>
      <c r="D174" s="2">
        <v>12900000</v>
      </c>
      <c r="E174" t="s">
        <v>14</v>
      </c>
      <c r="F174" t="s">
        <v>10</v>
      </c>
      <c r="G174" t="s">
        <v>10</v>
      </c>
      <c r="H174" s="3">
        <v>0</v>
      </c>
    </row>
    <row r="175" spans="1:8" ht="20.100000000000001" customHeight="1">
      <c r="A175" t="s">
        <v>187</v>
      </c>
      <c r="B175" s="3">
        <v>28</v>
      </c>
      <c r="C175" s="2">
        <v>5600000</v>
      </c>
      <c r="D175" s="2">
        <v>16000000</v>
      </c>
      <c r="E175" t="s">
        <v>16</v>
      </c>
      <c r="F175" t="s">
        <v>12</v>
      </c>
      <c r="G175" t="s">
        <v>10</v>
      </c>
      <c r="H175" s="3">
        <v>1</v>
      </c>
    </row>
    <row r="176" spans="1:8" ht="20.100000000000001" customHeight="1">
      <c r="A176" t="s">
        <v>188</v>
      </c>
      <c r="B176" s="3">
        <v>56</v>
      </c>
      <c r="C176" s="2">
        <v>4500000</v>
      </c>
      <c r="D176" s="2">
        <v>112400000</v>
      </c>
      <c r="E176" t="s">
        <v>9</v>
      </c>
      <c r="F176" t="s">
        <v>10</v>
      </c>
      <c r="G176" t="s">
        <v>10</v>
      </c>
      <c r="H176" s="3">
        <v>1</v>
      </c>
    </row>
    <row r="177" spans="1:8" ht="20.100000000000001" customHeight="1">
      <c r="A177" t="s">
        <v>189</v>
      </c>
      <c r="B177" s="3">
        <v>47</v>
      </c>
      <c r="C177" s="2">
        <v>4700000</v>
      </c>
      <c r="D177" s="2">
        <v>62600000</v>
      </c>
      <c r="E177" t="s">
        <v>9</v>
      </c>
      <c r="F177" t="s">
        <v>12</v>
      </c>
      <c r="G177" t="s">
        <v>10</v>
      </c>
      <c r="H177" s="3">
        <v>0</v>
      </c>
    </row>
    <row r="178" spans="1:8" ht="20.100000000000001" customHeight="1">
      <c r="A178" t="s">
        <v>190</v>
      </c>
      <c r="B178" s="3">
        <v>35</v>
      </c>
      <c r="C178" s="2">
        <v>4800000</v>
      </c>
      <c r="D178" s="2">
        <v>30600000</v>
      </c>
      <c r="E178" t="s">
        <v>9</v>
      </c>
      <c r="F178" t="s">
        <v>12</v>
      </c>
      <c r="G178" t="s">
        <v>10</v>
      </c>
      <c r="H178" s="3">
        <v>0</v>
      </c>
    </row>
    <row r="179" spans="1:8" ht="20.100000000000001" customHeight="1">
      <c r="A179" t="s">
        <v>191</v>
      </c>
      <c r="B179" s="3">
        <v>42</v>
      </c>
      <c r="C179" s="2">
        <v>6900000</v>
      </c>
      <c r="D179" s="2">
        <v>19800000</v>
      </c>
      <c r="E179" t="s">
        <v>16</v>
      </c>
      <c r="F179" t="s">
        <v>12</v>
      </c>
      <c r="G179" t="s">
        <v>12</v>
      </c>
      <c r="H179" s="3">
        <v>0</v>
      </c>
    </row>
    <row r="180" spans="1:8" ht="20.100000000000001" customHeight="1">
      <c r="A180" t="s">
        <v>192</v>
      </c>
      <c r="B180" s="3">
        <v>53</v>
      </c>
      <c r="C180" s="2">
        <v>7000000</v>
      </c>
      <c r="D180" s="2">
        <v>24400000</v>
      </c>
      <c r="E180" t="s">
        <v>14</v>
      </c>
      <c r="F180" t="s">
        <v>12</v>
      </c>
      <c r="G180" t="s">
        <v>12</v>
      </c>
      <c r="H180" s="3">
        <v>0</v>
      </c>
    </row>
    <row r="181" spans="1:8" ht="20.100000000000001" customHeight="1">
      <c r="A181" t="s">
        <v>193</v>
      </c>
      <c r="B181" s="3">
        <v>41</v>
      </c>
      <c r="C181" s="2">
        <v>7600000</v>
      </c>
      <c r="D181" s="2">
        <v>12500000</v>
      </c>
      <c r="E181" t="s">
        <v>9</v>
      </c>
      <c r="F181" t="s">
        <v>12</v>
      </c>
      <c r="G181" t="s">
        <v>10</v>
      </c>
      <c r="H181" s="3">
        <v>1</v>
      </c>
    </row>
    <row r="182" spans="1:8" ht="20.100000000000001" customHeight="1">
      <c r="A182" t="s">
        <v>194</v>
      </c>
      <c r="B182" s="3">
        <v>47</v>
      </c>
      <c r="C182" s="2">
        <v>18900000</v>
      </c>
      <c r="D182" s="2">
        <v>120600000</v>
      </c>
      <c r="E182" t="s">
        <v>16</v>
      </c>
      <c r="F182" t="s">
        <v>12</v>
      </c>
      <c r="G182" t="s">
        <v>10</v>
      </c>
      <c r="H182" s="3">
        <v>1</v>
      </c>
    </row>
    <row r="183" spans="1:8" ht="20.100000000000001" customHeight="1">
      <c r="A183" t="s">
        <v>195</v>
      </c>
      <c r="B183" s="3">
        <v>32</v>
      </c>
      <c r="C183" s="2">
        <v>4500000</v>
      </c>
      <c r="D183" s="2">
        <v>35000000</v>
      </c>
      <c r="E183" t="s">
        <v>9</v>
      </c>
      <c r="F183" t="s">
        <v>12</v>
      </c>
      <c r="G183" t="s">
        <v>10</v>
      </c>
      <c r="H183" s="3">
        <v>0</v>
      </c>
    </row>
    <row r="184" spans="1:8" ht="20.100000000000001" customHeight="1">
      <c r="A184" t="s">
        <v>196</v>
      </c>
      <c r="B184" s="3">
        <v>43</v>
      </c>
      <c r="C184" s="2">
        <v>7800000</v>
      </c>
      <c r="D184" s="2">
        <v>20700000</v>
      </c>
      <c r="E184" t="s">
        <v>9</v>
      </c>
      <c r="F184" t="s">
        <v>12</v>
      </c>
      <c r="G184" t="s">
        <v>12</v>
      </c>
      <c r="H184" s="3">
        <v>1</v>
      </c>
    </row>
    <row r="185" spans="1:8" ht="20.100000000000001" customHeight="1">
      <c r="A185" t="s">
        <v>197</v>
      </c>
      <c r="B185" s="3">
        <v>54</v>
      </c>
      <c r="C185" s="2">
        <v>8100000</v>
      </c>
      <c r="D185" s="2">
        <v>31300000</v>
      </c>
      <c r="E185" t="s">
        <v>14</v>
      </c>
      <c r="F185" t="s">
        <v>12</v>
      </c>
      <c r="G185" t="s">
        <v>10</v>
      </c>
      <c r="H185" s="3">
        <v>0</v>
      </c>
    </row>
    <row r="186" spans="1:8" ht="20.100000000000001" customHeight="1">
      <c r="A186" t="s">
        <v>198</v>
      </c>
      <c r="B186" s="3">
        <v>23</v>
      </c>
      <c r="C186" s="2">
        <v>3800000</v>
      </c>
      <c r="D186" s="2">
        <v>7500000</v>
      </c>
      <c r="E186" t="s">
        <v>16</v>
      </c>
      <c r="F186" t="s">
        <v>12</v>
      </c>
      <c r="G186" t="s">
        <v>12</v>
      </c>
      <c r="H186" s="3">
        <v>0</v>
      </c>
    </row>
    <row r="187" spans="1:8" ht="20.100000000000001" customHeight="1">
      <c r="A187" t="s">
        <v>199</v>
      </c>
      <c r="B187" s="3">
        <v>41</v>
      </c>
      <c r="C187" s="2">
        <v>14300000</v>
      </c>
      <c r="D187" s="2">
        <v>55100000</v>
      </c>
      <c r="E187" t="s">
        <v>9</v>
      </c>
      <c r="F187" t="s">
        <v>12</v>
      </c>
      <c r="G187" t="s">
        <v>10</v>
      </c>
      <c r="H187" s="3">
        <v>1</v>
      </c>
    </row>
    <row r="188" spans="1:8" ht="20.100000000000001" customHeight="1">
      <c r="A188" t="s">
        <v>200</v>
      </c>
      <c r="B188" s="3">
        <v>26</v>
      </c>
      <c r="C188" s="2">
        <v>2200000</v>
      </c>
      <c r="D188" s="2">
        <v>3500000</v>
      </c>
      <c r="E188" t="s">
        <v>16</v>
      </c>
      <c r="F188" t="s">
        <v>10</v>
      </c>
      <c r="G188" t="s">
        <v>12</v>
      </c>
      <c r="H188" s="3">
        <v>0</v>
      </c>
    </row>
    <row r="189" spans="1:8" ht="20.100000000000001" customHeight="1">
      <c r="A189" t="s">
        <v>201</v>
      </c>
      <c r="B189" s="3">
        <v>29</v>
      </c>
      <c r="C189" s="2">
        <v>8900000</v>
      </c>
      <c r="D189" s="2">
        <v>9200000</v>
      </c>
      <c r="E189" t="s">
        <v>14</v>
      </c>
      <c r="F189" t="s">
        <v>10</v>
      </c>
      <c r="G189" t="s">
        <v>10</v>
      </c>
      <c r="H189" s="3">
        <v>1</v>
      </c>
    </row>
    <row r="190" spans="1:8" ht="20.100000000000001" customHeight="1">
      <c r="A190" t="s">
        <v>202</v>
      </c>
      <c r="B190" s="3">
        <v>30</v>
      </c>
      <c r="C190" s="2">
        <v>5300000</v>
      </c>
      <c r="D190" s="2">
        <v>31500000</v>
      </c>
      <c r="E190" t="s">
        <v>14</v>
      </c>
      <c r="F190" t="s">
        <v>12</v>
      </c>
      <c r="G190" t="s">
        <v>12</v>
      </c>
      <c r="H190" s="3">
        <v>0</v>
      </c>
    </row>
    <row r="191" spans="1:8" ht="20.100000000000001" customHeight="1">
      <c r="A191" t="s">
        <v>203</v>
      </c>
      <c r="B191" s="3">
        <v>39</v>
      </c>
      <c r="C191" s="2">
        <v>8100000</v>
      </c>
      <c r="D191" s="2">
        <v>9800000</v>
      </c>
      <c r="E191" t="s">
        <v>14</v>
      </c>
      <c r="F191" t="s">
        <v>10</v>
      </c>
      <c r="G191" t="s">
        <v>10</v>
      </c>
      <c r="H191" s="3">
        <v>0</v>
      </c>
    </row>
    <row r="192" spans="1:8" ht="20.100000000000001" customHeight="1">
      <c r="A192" t="s">
        <v>204</v>
      </c>
      <c r="B192" s="3">
        <v>37</v>
      </c>
      <c r="C192" s="2">
        <v>4900000</v>
      </c>
      <c r="D192" s="2">
        <v>6200000</v>
      </c>
      <c r="E192" t="s">
        <v>9</v>
      </c>
      <c r="F192" t="s">
        <v>12</v>
      </c>
      <c r="G192" t="s">
        <v>10</v>
      </c>
      <c r="H192" s="3">
        <v>0</v>
      </c>
    </row>
    <row r="193" spans="1:8" ht="20.100000000000001" customHeight="1">
      <c r="A193" t="s">
        <v>205</v>
      </c>
      <c r="B193" s="3">
        <v>40</v>
      </c>
      <c r="C193" s="2">
        <v>7400000</v>
      </c>
      <c r="D193" s="2">
        <v>35900000</v>
      </c>
      <c r="E193" t="s">
        <v>16</v>
      </c>
      <c r="F193" t="s">
        <v>12</v>
      </c>
      <c r="G193" t="s">
        <v>10</v>
      </c>
      <c r="H193" s="3">
        <v>0</v>
      </c>
    </row>
    <row r="194" spans="1:8" ht="20.100000000000001" customHeight="1">
      <c r="A194" t="s">
        <v>206</v>
      </c>
      <c r="B194" s="3">
        <v>38</v>
      </c>
      <c r="C194" s="2">
        <v>6600000</v>
      </c>
      <c r="D194" s="2">
        <v>100100000</v>
      </c>
      <c r="E194" t="s">
        <v>16</v>
      </c>
      <c r="F194" t="s">
        <v>12</v>
      </c>
      <c r="G194" t="s">
        <v>12</v>
      </c>
      <c r="H194" s="3">
        <v>1</v>
      </c>
    </row>
    <row r="195" spans="1:8" ht="20.100000000000001" customHeight="1">
      <c r="A195" t="s">
        <v>207</v>
      </c>
      <c r="B195" s="3">
        <v>33</v>
      </c>
      <c r="C195" s="2">
        <v>4500000</v>
      </c>
      <c r="D195" s="2">
        <v>12300000</v>
      </c>
      <c r="E195" t="s">
        <v>9</v>
      </c>
      <c r="F195" t="s">
        <v>10</v>
      </c>
      <c r="G195" t="s">
        <v>10</v>
      </c>
      <c r="H195" s="3">
        <v>0</v>
      </c>
    </row>
    <row r="196" spans="1:8" ht="20.100000000000001" customHeight="1">
      <c r="A196" t="s">
        <v>208</v>
      </c>
      <c r="B196" s="3">
        <v>31</v>
      </c>
      <c r="C196" s="2">
        <v>4300000</v>
      </c>
      <c r="D196" s="2">
        <v>2200000</v>
      </c>
      <c r="E196" t="s">
        <v>16</v>
      </c>
      <c r="F196" t="s">
        <v>10</v>
      </c>
      <c r="G196" t="s">
        <v>12</v>
      </c>
      <c r="H196" s="3">
        <v>0</v>
      </c>
    </row>
    <row r="197" spans="1:8" ht="20.100000000000001" customHeight="1">
      <c r="A197" t="s">
        <v>209</v>
      </c>
      <c r="B197" s="3">
        <v>42</v>
      </c>
      <c r="C197" s="2">
        <v>4700000</v>
      </c>
      <c r="D197" s="2">
        <v>16900000</v>
      </c>
      <c r="E197" t="s">
        <v>14</v>
      </c>
      <c r="F197" t="s">
        <v>10</v>
      </c>
      <c r="G197" t="s">
        <v>12</v>
      </c>
      <c r="H197" s="3">
        <v>0</v>
      </c>
    </row>
    <row r="198" spans="1:8" ht="20.100000000000001" customHeight="1">
      <c r="A198" t="s">
        <v>210</v>
      </c>
      <c r="B198" s="3">
        <v>46</v>
      </c>
      <c r="C198" s="2">
        <v>11100000</v>
      </c>
      <c r="D198" s="2">
        <v>71500000</v>
      </c>
      <c r="E198" t="s">
        <v>9</v>
      </c>
      <c r="F198" t="s">
        <v>10</v>
      </c>
      <c r="G198" t="s">
        <v>10</v>
      </c>
      <c r="H198" s="3">
        <v>1</v>
      </c>
    </row>
    <row r="199" spans="1:8" ht="20.100000000000001" customHeight="1">
      <c r="A199" t="s">
        <v>211</v>
      </c>
      <c r="B199" s="3">
        <v>21</v>
      </c>
      <c r="C199" s="2">
        <v>4500000</v>
      </c>
      <c r="D199" s="2">
        <v>8600000</v>
      </c>
      <c r="E199" t="s">
        <v>9</v>
      </c>
      <c r="F199" t="s">
        <v>12</v>
      </c>
      <c r="G199" t="s">
        <v>12</v>
      </c>
      <c r="H199" s="3">
        <v>0</v>
      </c>
    </row>
    <row r="200" spans="1:8" ht="20.100000000000001" customHeight="1">
      <c r="A200" t="s">
        <v>212</v>
      </c>
      <c r="B200" s="3">
        <v>32</v>
      </c>
      <c r="C200" s="2">
        <v>6700000</v>
      </c>
      <c r="D200" s="2">
        <v>10600000</v>
      </c>
      <c r="E200" t="s">
        <v>9</v>
      </c>
      <c r="F200" t="s">
        <v>10</v>
      </c>
      <c r="G200" t="s">
        <v>12</v>
      </c>
      <c r="H200" s="3">
        <v>0</v>
      </c>
    </row>
    <row r="201" spans="1:8" ht="20.100000000000001" customHeight="1">
      <c r="A201" t="s">
        <v>213</v>
      </c>
      <c r="B201" s="3">
        <v>41</v>
      </c>
      <c r="C201" s="2">
        <v>6700000</v>
      </c>
      <c r="D201" s="2">
        <v>12200000</v>
      </c>
      <c r="E201" t="s">
        <v>16</v>
      </c>
      <c r="F201" t="s">
        <v>12</v>
      </c>
      <c r="G201" t="s">
        <v>10</v>
      </c>
      <c r="H201" s="3">
        <v>1</v>
      </c>
    </row>
    <row r="202" spans="1:8" ht="20.100000000000001" customHeight="1">
      <c r="A202" t="s">
        <v>214</v>
      </c>
      <c r="B202" s="3">
        <v>42</v>
      </c>
      <c r="C202" s="2">
        <v>11200000</v>
      </c>
      <c r="D202" s="2">
        <v>56800000</v>
      </c>
      <c r="E202" t="s">
        <v>9</v>
      </c>
      <c r="F202" t="s">
        <v>12</v>
      </c>
      <c r="G202" t="s">
        <v>12</v>
      </c>
      <c r="H202" s="3">
        <v>0</v>
      </c>
    </row>
    <row r="203" spans="1:8" ht="20.100000000000001" customHeight="1">
      <c r="A203" t="s">
        <v>215</v>
      </c>
      <c r="B203" s="3">
        <v>28</v>
      </c>
      <c r="C203" s="2">
        <v>7000000</v>
      </c>
      <c r="D203" s="2">
        <v>10700000</v>
      </c>
      <c r="E203" t="s">
        <v>16</v>
      </c>
      <c r="F203" t="s">
        <v>10</v>
      </c>
      <c r="G203" t="s">
        <v>12</v>
      </c>
      <c r="H203" s="3">
        <v>0</v>
      </c>
    </row>
    <row r="204" spans="1:8" ht="20.100000000000001" customHeight="1">
      <c r="A204" t="s">
        <v>216</v>
      </c>
      <c r="B204" s="3">
        <v>34</v>
      </c>
      <c r="C204" s="2">
        <v>3600000</v>
      </c>
      <c r="D204" s="2">
        <v>3400000</v>
      </c>
      <c r="E204" t="s">
        <v>9</v>
      </c>
      <c r="F204" t="s">
        <v>12</v>
      </c>
      <c r="G204" t="s">
        <v>10</v>
      </c>
      <c r="H204" s="3">
        <v>0</v>
      </c>
    </row>
    <row r="205" spans="1:8" ht="20.100000000000001" customHeight="1">
      <c r="A205" t="s">
        <v>217</v>
      </c>
      <c r="B205" s="3">
        <v>37</v>
      </c>
      <c r="C205" s="2">
        <v>6100000</v>
      </c>
      <c r="D205" s="2">
        <v>4900000</v>
      </c>
      <c r="E205" t="s">
        <v>14</v>
      </c>
      <c r="F205" t="s">
        <v>12</v>
      </c>
      <c r="G205" t="s">
        <v>12</v>
      </c>
      <c r="H205" s="3">
        <v>0</v>
      </c>
    </row>
    <row r="206" spans="1:8" ht="20.100000000000001" customHeight="1">
      <c r="A206" t="s">
        <v>218</v>
      </c>
      <c r="B206" s="3">
        <v>21</v>
      </c>
      <c r="C206" s="2">
        <v>7000000</v>
      </c>
      <c r="D206" s="2">
        <v>5400000</v>
      </c>
      <c r="E206" t="s">
        <v>14</v>
      </c>
      <c r="F206" t="s">
        <v>12</v>
      </c>
      <c r="G206" t="s">
        <v>10</v>
      </c>
      <c r="H206" s="3">
        <v>0</v>
      </c>
    </row>
    <row r="207" spans="1:8" ht="20.100000000000001" customHeight="1">
      <c r="A207" t="s">
        <v>219</v>
      </c>
      <c r="B207" s="3">
        <v>25</v>
      </c>
      <c r="C207" s="2">
        <v>6600000</v>
      </c>
      <c r="D207" s="2">
        <v>26900000</v>
      </c>
      <c r="E207" t="s">
        <v>9</v>
      </c>
      <c r="F207" t="s">
        <v>10</v>
      </c>
      <c r="G207" t="s">
        <v>12</v>
      </c>
      <c r="H207" s="3">
        <v>0</v>
      </c>
    </row>
    <row r="208" spans="1:8" ht="20.100000000000001" customHeight="1">
      <c r="A208" t="s">
        <v>220</v>
      </c>
      <c r="B208" s="3">
        <v>50</v>
      </c>
      <c r="C208" s="2">
        <v>12500000</v>
      </c>
      <c r="D208" s="2">
        <v>27900000</v>
      </c>
      <c r="E208" t="s">
        <v>9</v>
      </c>
      <c r="F208" t="s">
        <v>12</v>
      </c>
      <c r="G208" t="s">
        <v>12</v>
      </c>
      <c r="H208" s="3">
        <v>1</v>
      </c>
    </row>
    <row r="209" spans="1:8" ht="20.100000000000001" customHeight="1">
      <c r="A209" t="s">
        <v>221</v>
      </c>
      <c r="B209" s="3">
        <v>52</v>
      </c>
      <c r="C209" s="2">
        <v>7900000</v>
      </c>
      <c r="D209" s="2">
        <v>17300000</v>
      </c>
      <c r="E209" t="s">
        <v>14</v>
      </c>
      <c r="F209" t="s">
        <v>12</v>
      </c>
      <c r="G209" t="s">
        <v>10</v>
      </c>
      <c r="H209" s="3">
        <v>1</v>
      </c>
    </row>
    <row r="210" spans="1:8" ht="20.100000000000001" customHeight="1">
      <c r="A210" t="s">
        <v>222</v>
      </c>
      <c r="B210" s="3">
        <v>46</v>
      </c>
      <c r="C210" s="2">
        <v>8900000</v>
      </c>
      <c r="D210" s="2">
        <v>40800000</v>
      </c>
      <c r="E210" t="s">
        <v>14</v>
      </c>
      <c r="F210" t="s">
        <v>10</v>
      </c>
      <c r="G210" t="s">
        <v>12</v>
      </c>
      <c r="H210" s="3">
        <v>0</v>
      </c>
    </row>
    <row r="211" spans="1:8" ht="20.100000000000001" customHeight="1">
      <c r="A211" t="s">
        <v>223</v>
      </c>
      <c r="B211" s="3">
        <v>36</v>
      </c>
      <c r="C211" s="2">
        <v>6300000</v>
      </c>
      <c r="D211" s="2">
        <v>22700000</v>
      </c>
      <c r="E211" t="s">
        <v>9</v>
      </c>
      <c r="F211" t="s">
        <v>12</v>
      </c>
      <c r="G211" t="s">
        <v>12</v>
      </c>
      <c r="H211" s="3">
        <v>0</v>
      </c>
    </row>
    <row r="212" spans="1:8" ht="20.100000000000001" customHeight="1">
      <c r="A212" t="s">
        <v>224</v>
      </c>
      <c r="B212" s="3">
        <v>46</v>
      </c>
      <c r="C212" s="2">
        <v>4500000</v>
      </c>
      <c r="D212" s="2">
        <v>9500000</v>
      </c>
      <c r="E212" t="s">
        <v>14</v>
      </c>
      <c r="F212" t="s">
        <v>12</v>
      </c>
      <c r="G212" t="s">
        <v>10</v>
      </c>
      <c r="H212" s="3">
        <v>0</v>
      </c>
    </row>
    <row r="213" spans="1:8" ht="20.100000000000001" customHeight="1">
      <c r="A213" t="s">
        <v>225</v>
      </c>
      <c r="B213" s="3">
        <v>23</v>
      </c>
      <c r="C213" s="2">
        <v>6900000</v>
      </c>
      <c r="D213" s="2">
        <v>13300000</v>
      </c>
      <c r="E213" t="s">
        <v>14</v>
      </c>
      <c r="F213" t="s">
        <v>10</v>
      </c>
      <c r="G213" t="s">
        <v>10</v>
      </c>
      <c r="H213" s="3">
        <v>0</v>
      </c>
    </row>
    <row r="214" spans="1:8" ht="20.100000000000001" customHeight="1">
      <c r="A214" t="s">
        <v>226</v>
      </c>
      <c r="B214" s="3">
        <v>34</v>
      </c>
      <c r="C214" s="2">
        <v>4900000</v>
      </c>
      <c r="D214" s="2">
        <v>8000000</v>
      </c>
      <c r="E214" t="s">
        <v>9</v>
      </c>
      <c r="F214" t="s">
        <v>10</v>
      </c>
      <c r="G214" t="s">
        <v>12</v>
      </c>
      <c r="H214" s="3">
        <v>0</v>
      </c>
    </row>
    <row r="215" spans="1:8" ht="20.100000000000001" customHeight="1">
      <c r="A215" t="s">
        <v>227</v>
      </c>
      <c r="B215" s="3">
        <v>32</v>
      </c>
      <c r="C215" s="2">
        <v>6700000</v>
      </c>
      <c r="D215" s="2">
        <v>30500000</v>
      </c>
      <c r="E215" t="s">
        <v>16</v>
      </c>
      <c r="F215" t="s">
        <v>10</v>
      </c>
      <c r="G215" t="s">
        <v>12</v>
      </c>
      <c r="H215" s="3">
        <v>1</v>
      </c>
    </row>
    <row r="216" spans="1:8" ht="20.100000000000001" customHeight="1">
      <c r="A216" t="s">
        <v>228</v>
      </c>
      <c r="B216" s="3">
        <v>24</v>
      </c>
      <c r="C216" s="2">
        <v>5200000</v>
      </c>
      <c r="D216" s="2">
        <v>10800000</v>
      </c>
      <c r="E216" t="s">
        <v>16</v>
      </c>
      <c r="F216" t="s">
        <v>10</v>
      </c>
      <c r="G216" t="s">
        <v>10</v>
      </c>
      <c r="H216" s="3">
        <v>0</v>
      </c>
    </row>
    <row r="217" spans="1:8" ht="20.100000000000001" customHeight="1">
      <c r="A217" t="s">
        <v>229</v>
      </c>
      <c r="B217" s="3">
        <v>52</v>
      </c>
      <c r="C217" s="2">
        <v>7300000</v>
      </c>
      <c r="D217" s="2">
        <v>31200000</v>
      </c>
      <c r="E217" t="s">
        <v>9</v>
      </c>
      <c r="F217" t="s">
        <v>10</v>
      </c>
      <c r="G217" t="s">
        <v>10</v>
      </c>
      <c r="H217" s="3">
        <v>0</v>
      </c>
    </row>
    <row r="218" spans="1:8" ht="20.100000000000001" customHeight="1">
      <c r="A218" t="s">
        <v>230</v>
      </c>
      <c r="B218" s="3">
        <v>32</v>
      </c>
      <c r="C218" s="2">
        <v>8400000</v>
      </c>
      <c r="D218" s="2">
        <v>5900000</v>
      </c>
      <c r="E218" t="s">
        <v>14</v>
      </c>
      <c r="F218" t="s">
        <v>10</v>
      </c>
      <c r="G218" t="s">
        <v>10</v>
      </c>
      <c r="H218" s="3">
        <v>1</v>
      </c>
    </row>
    <row r="219" spans="1:8" ht="20.100000000000001" customHeight="1">
      <c r="A219" t="s">
        <v>231</v>
      </c>
      <c r="B219" s="3">
        <v>33</v>
      </c>
      <c r="C219" s="2">
        <v>3900000</v>
      </c>
      <c r="D219" s="2">
        <v>42200000</v>
      </c>
      <c r="E219" t="s">
        <v>9</v>
      </c>
      <c r="F219" t="s">
        <v>10</v>
      </c>
      <c r="G219" t="s">
        <v>12</v>
      </c>
      <c r="H219" s="3">
        <v>1</v>
      </c>
    </row>
    <row r="220" spans="1:8" ht="20.100000000000001" customHeight="1">
      <c r="A220" t="s">
        <v>232</v>
      </c>
      <c r="B220" s="3">
        <v>48</v>
      </c>
      <c r="C220" s="2">
        <v>10900000</v>
      </c>
      <c r="D220" s="2">
        <v>65500000</v>
      </c>
      <c r="E220" t="s">
        <v>9</v>
      </c>
      <c r="F220" t="s">
        <v>10</v>
      </c>
      <c r="G220" t="s">
        <v>10</v>
      </c>
      <c r="H220" s="3">
        <v>0</v>
      </c>
    </row>
    <row r="221" spans="1:8" ht="20.100000000000001" customHeight="1">
      <c r="A221" t="s">
        <v>233</v>
      </c>
      <c r="B221" s="3">
        <v>37</v>
      </c>
      <c r="C221" s="2">
        <v>5900000</v>
      </c>
      <c r="D221" s="2">
        <v>6600000</v>
      </c>
      <c r="E221" t="s">
        <v>14</v>
      </c>
      <c r="F221" t="s">
        <v>12</v>
      </c>
      <c r="G221" t="s">
        <v>12</v>
      </c>
      <c r="H221" s="3">
        <v>0</v>
      </c>
    </row>
    <row r="222" spans="1:8" ht="20.100000000000001" customHeight="1">
      <c r="A222" t="s">
        <v>234</v>
      </c>
      <c r="B222" s="3">
        <v>23</v>
      </c>
      <c r="C222" s="2">
        <v>4200000</v>
      </c>
      <c r="D222" s="2">
        <v>10900000</v>
      </c>
      <c r="E222" t="s">
        <v>9</v>
      </c>
      <c r="F222" t="s">
        <v>12</v>
      </c>
      <c r="G222" t="s">
        <v>12</v>
      </c>
      <c r="H222" s="3">
        <v>0</v>
      </c>
    </row>
    <row r="223" spans="1:8" ht="20.100000000000001" customHeight="1">
      <c r="A223" t="s">
        <v>235</v>
      </c>
      <c r="B223" s="3">
        <v>21</v>
      </c>
      <c r="C223" s="2">
        <v>5400000</v>
      </c>
      <c r="D223" s="2">
        <v>7300000</v>
      </c>
      <c r="E223" t="s">
        <v>9</v>
      </c>
      <c r="F223" t="s">
        <v>12</v>
      </c>
      <c r="G223" t="s">
        <v>10</v>
      </c>
      <c r="H223" s="3">
        <v>0</v>
      </c>
    </row>
    <row r="224" spans="1:8" ht="20.100000000000001" customHeight="1">
      <c r="A224" t="s">
        <v>236</v>
      </c>
      <c r="B224" s="3">
        <v>36</v>
      </c>
      <c r="C224" s="2">
        <v>4800000</v>
      </c>
      <c r="D224" s="2">
        <v>22500000</v>
      </c>
      <c r="E224" t="s">
        <v>14</v>
      </c>
      <c r="F224" t="s">
        <v>10</v>
      </c>
      <c r="G224" t="s">
        <v>12</v>
      </c>
      <c r="H224" s="3">
        <v>0</v>
      </c>
    </row>
    <row r="225" spans="1:8" ht="20.100000000000001" customHeight="1">
      <c r="A225" t="s">
        <v>237</v>
      </c>
      <c r="B225" s="3">
        <v>40</v>
      </c>
      <c r="C225" s="2">
        <v>4900000</v>
      </c>
      <c r="D225" s="2">
        <v>9100000</v>
      </c>
      <c r="E225" t="s">
        <v>9</v>
      </c>
      <c r="F225" t="s">
        <v>12</v>
      </c>
      <c r="G225" t="s">
        <v>12</v>
      </c>
      <c r="H225" s="3">
        <v>0</v>
      </c>
    </row>
    <row r="226" spans="1:8" ht="20.100000000000001" customHeight="1">
      <c r="A226" t="s">
        <v>238</v>
      </c>
      <c r="B226" s="3">
        <v>37</v>
      </c>
      <c r="C226" s="2">
        <v>3900000</v>
      </c>
      <c r="D226" s="2">
        <v>31600000</v>
      </c>
      <c r="E226" t="s">
        <v>9</v>
      </c>
      <c r="F226" t="s">
        <v>12</v>
      </c>
      <c r="G226" t="s">
        <v>12</v>
      </c>
      <c r="H226" s="3">
        <v>0</v>
      </c>
    </row>
    <row r="227" spans="1:8" ht="20.100000000000001" customHeight="1">
      <c r="A227" t="s">
        <v>239</v>
      </c>
      <c r="B227" s="3">
        <v>39</v>
      </c>
      <c r="C227" s="2">
        <v>5300000</v>
      </c>
      <c r="D227" s="2">
        <v>7600000</v>
      </c>
      <c r="E227" t="s">
        <v>9</v>
      </c>
      <c r="F227" t="s">
        <v>12</v>
      </c>
      <c r="G227" t="s">
        <v>10</v>
      </c>
      <c r="H227" s="3">
        <v>0</v>
      </c>
    </row>
    <row r="228" spans="1:8" ht="20.100000000000001" customHeight="1">
      <c r="A228" t="s">
        <v>240</v>
      </c>
      <c r="B228" s="3">
        <v>57</v>
      </c>
      <c r="C228" s="2">
        <v>4100000</v>
      </c>
      <c r="D228" s="2">
        <v>14700000</v>
      </c>
      <c r="E228" t="s">
        <v>14</v>
      </c>
      <c r="F228" t="s">
        <v>12</v>
      </c>
      <c r="G228" t="s">
        <v>12</v>
      </c>
      <c r="H228" s="3">
        <v>0</v>
      </c>
    </row>
    <row r="229" spans="1:8" ht="20.100000000000001" customHeight="1">
      <c r="A229" t="s">
        <v>241</v>
      </c>
      <c r="B229" s="3">
        <v>36</v>
      </c>
      <c r="C229" s="2">
        <v>4500000</v>
      </c>
      <c r="D229" s="2">
        <v>9900000</v>
      </c>
      <c r="E229" t="s">
        <v>16</v>
      </c>
      <c r="F229" t="s">
        <v>10</v>
      </c>
      <c r="G229" t="s">
        <v>10</v>
      </c>
      <c r="H229" s="3">
        <v>0</v>
      </c>
    </row>
    <row r="230" spans="1:8" ht="20.100000000000001" customHeight="1">
      <c r="A230" t="s">
        <v>242</v>
      </c>
      <c r="B230" s="3">
        <v>47</v>
      </c>
      <c r="C230" s="2">
        <v>3000000</v>
      </c>
      <c r="D230" s="2">
        <v>7100000</v>
      </c>
      <c r="E230" t="s">
        <v>16</v>
      </c>
      <c r="F230" t="s">
        <v>10</v>
      </c>
      <c r="G230" t="s">
        <v>12</v>
      </c>
      <c r="H230" s="3">
        <v>1</v>
      </c>
    </row>
    <row r="231" spans="1:8" ht="20.100000000000001" customHeight="1">
      <c r="A231" t="s">
        <v>243</v>
      </c>
      <c r="B231" s="3">
        <v>54</v>
      </c>
      <c r="C231" s="2">
        <v>7500000</v>
      </c>
      <c r="D231" s="2">
        <v>22000000</v>
      </c>
      <c r="E231" t="s">
        <v>14</v>
      </c>
      <c r="F231" t="s">
        <v>12</v>
      </c>
      <c r="G231" t="s">
        <v>10</v>
      </c>
      <c r="H231" s="3">
        <v>1</v>
      </c>
    </row>
    <row r="232" spans="1:8" ht="20.100000000000001" customHeight="1">
      <c r="A232" t="s">
        <v>244</v>
      </c>
      <c r="B232" s="3">
        <v>52</v>
      </c>
      <c r="C232" s="2">
        <v>12500000</v>
      </c>
      <c r="D232" s="2">
        <v>155000000</v>
      </c>
      <c r="E232" t="s">
        <v>16</v>
      </c>
      <c r="F232" t="s">
        <v>10</v>
      </c>
      <c r="G232" t="s">
        <v>10</v>
      </c>
      <c r="H232" s="3">
        <v>1</v>
      </c>
    </row>
    <row r="233" spans="1:8" ht="20.100000000000001" customHeight="1">
      <c r="A233" t="s">
        <v>245</v>
      </c>
      <c r="B233" s="3">
        <v>54</v>
      </c>
      <c r="C233" s="2">
        <v>8200000</v>
      </c>
      <c r="D233" s="2">
        <v>61300000</v>
      </c>
      <c r="E233" t="s">
        <v>9</v>
      </c>
      <c r="F233" t="s">
        <v>10</v>
      </c>
      <c r="G233" t="s">
        <v>12</v>
      </c>
      <c r="H233" s="3">
        <v>0</v>
      </c>
    </row>
    <row r="234" spans="1:8" ht="20.100000000000001" customHeight="1">
      <c r="A234" t="s">
        <v>246</v>
      </c>
      <c r="B234" s="3">
        <v>25</v>
      </c>
      <c r="C234" s="2">
        <v>5100000</v>
      </c>
      <c r="D234" s="2">
        <v>3100000</v>
      </c>
      <c r="E234" t="s">
        <v>16</v>
      </c>
      <c r="F234" t="s">
        <v>10</v>
      </c>
      <c r="G234" t="s">
        <v>10</v>
      </c>
      <c r="H234" s="3">
        <v>0</v>
      </c>
    </row>
    <row r="235" spans="1:8" ht="20.100000000000001" customHeight="1">
      <c r="A235" t="s">
        <v>247</v>
      </c>
      <c r="B235" s="3">
        <v>50</v>
      </c>
      <c r="C235" s="2">
        <v>8800000</v>
      </c>
      <c r="D235" s="2">
        <v>35400000</v>
      </c>
      <c r="E235" t="s">
        <v>14</v>
      </c>
      <c r="F235" t="s">
        <v>10</v>
      </c>
      <c r="G235" t="s">
        <v>10</v>
      </c>
      <c r="H235" s="3">
        <v>0</v>
      </c>
    </row>
    <row r="236" spans="1:8" ht="20.100000000000001" customHeight="1">
      <c r="A236" t="s">
        <v>248</v>
      </c>
      <c r="B236" s="3">
        <v>49</v>
      </c>
      <c r="C236" s="2">
        <v>5800000</v>
      </c>
      <c r="D236" s="2">
        <v>155000000</v>
      </c>
      <c r="E236" t="s">
        <v>14</v>
      </c>
      <c r="F236" t="s">
        <v>12</v>
      </c>
      <c r="G236" t="s">
        <v>10</v>
      </c>
      <c r="H236" s="3">
        <v>1</v>
      </c>
    </row>
    <row r="237" spans="1:8" ht="20.100000000000001" customHeight="1">
      <c r="A237" t="s">
        <v>249</v>
      </c>
      <c r="B237" s="3">
        <v>30</v>
      </c>
      <c r="C237" s="2">
        <v>11300000</v>
      </c>
      <c r="D237" s="2">
        <v>30300000</v>
      </c>
      <c r="E237" t="s">
        <v>9</v>
      </c>
      <c r="F237" t="s">
        <v>12</v>
      </c>
      <c r="G237" t="s">
        <v>12</v>
      </c>
      <c r="H237" s="3">
        <v>1</v>
      </c>
    </row>
    <row r="238" spans="1:8" ht="20.100000000000001" customHeight="1">
      <c r="A238" t="s">
        <v>250</v>
      </c>
      <c r="B238" s="3">
        <v>40</v>
      </c>
      <c r="C238" s="2">
        <v>6100000</v>
      </c>
      <c r="D238" s="2">
        <v>19200000</v>
      </c>
      <c r="E238" t="s">
        <v>16</v>
      </c>
      <c r="F238" t="s">
        <v>12</v>
      </c>
      <c r="G238" t="s">
        <v>12</v>
      </c>
      <c r="H238" s="3">
        <v>1</v>
      </c>
    </row>
    <row r="239" spans="1:8" ht="20.100000000000001" customHeight="1">
      <c r="A239" t="s">
        <v>251</v>
      </c>
      <c r="B239" s="3">
        <v>45</v>
      </c>
      <c r="C239" s="2">
        <v>7400000</v>
      </c>
      <c r="D239" s="2">
        <v>79300000</v>
      </c>
      <c r="E239" t="s">
        <v>14</v>
      </c>
      <c r="F239" t="s">
        <v>12</v>
      </c>
      <c r="G239" t="s">
        <v>10</v>
      </c>
      <c r="H239" s="3">
        <v>0</v>
      </c>
    </row>
    <row r="240" spans="1:8" ht="20.100000000000001" customHeight="1">
      <c r="A240" t="s">
        <v>252</v>
      </c>
      <c r="B240" s="3">
        <v>44</v>
      </c>
      <c r="C240" s="2">
        <v>6300000</v>
      </c>
      <c r="D240" s="2">
        <v>8400000</v>
      </c>
      <c r="E240" t="s">
        <v>16</v>
      </c>
      <c r="F240" t="s">
        <v>12</v>
      </c>
      <c r="G240" t="s">
        <v>12</v>
      </c>
      <c r="H240" s="3">
        <v>0</v>
      </c>
    </row>
    <row r="241" spans="1:8" ht="20.100000000000001" customHeight="1">
      <c r="A241" t="s">
        <v>253</v>
      </c>
      <c r="B241" s="3">
        <v>55</v>
      </c>
      <c r="C241" s="2">
        <v>6300000</v>
      </c>
      <c r="D241" s="2">
        <v>17200000</v>
      </c>
      <c r="E241" t="s">
        <v>14</v>
      </c>
      <c r="F241" t="s">
        <v>12</v>
      </c>
      <c r="G241" t="s">
        <v>10</v>
      </c>
      <c r="H241" s="3">
        <v>0</v>
      </c>
    </row>
    <row r="242" spans="1:8" ht="20.100000000000001" customHeight="1">
      <c r="A242" t="s">
        <v>254</v>
      </c>
      <c r="B242" s="3">
        <v>45</v>
      </c>
      <c r="C242" s="2">
        <v>5200000</v>
      </c>
      <c r="D242" s="2">
        <v>10000000</v>
      </c>
      <c r="E242" t="s">
        <v>9</v>
      </c>
      <c r="F242" t="s">
        <v>12</v>
      </c>
      <c r="G242" t="s">
        <v>12</v>
      </c>
      <c r="H242" s="3">
        <v>0</v>
      </c>
    </row>
    <row r="243" spans="1:8" ht="20.100000000000001" customHeight="1">
      <c r="A243" t="s">
        <v>255</v>
      </c>
      <c r="B243" s="3">
        <v>38</v>
      </c>
      <c r="C243" s="2">
        <v>15900000</v>
      </c>
      <c r="D243" s="2">
        <v>28300000</v>
      </c>
      <c r="E243" t="s">
        <v>16</v>
      </c>
      <c r="F243" t="s">
        <v>12</v>
      </c>
      <c r="G243" t="s">
        <v>10</v>
      </c>
      <c r="H243" s="3">
        <v>1</v>
      </c>
    </row>
    <row r="244" spans="1:8" ht="20.100000000000001" customHeight="1">
      <c r="A244" t="s">
        <v>256</v>
      </c>
      <c r="B244" s="3">
        <v>41</v>
      </c>
      <c r="C244" s="2">
        <v>11000000</v>
      </c>
      <c r="D244" s="2">
        <v>42500000</v>
      </c>
      <c r="E244" t="s">
        <v>9</v>
      </c>
      <c r="F244" t="s">
        <v>12</v>
      </c>
      <c r="G244" t="s">
        <v>10</v>
      </c>
      <c r="H244" s="3">
        <v>0</v>
      </c>
    </row>
    <row r="245" spans="1:8" ht="20.100000000000001" customHeight="1">
      <c r="A245" t="s">
        <v>257</v>
      </c>
      <c r="B245" s="3">
        <v>39</v>
      </c>
      <c r="C245" s="2">
        <v>8400000</v>
      </c>
      <c r="D245" s="2">
        <v>13000000</v>
      </c>
      <c r="E245" t="s">
        <v>9</v>
      </c>
      <c r="F245" t="s">
        <v>10</v>
      </c>
      <c r="G245" t="s">
        <v>12</v>
      </c>
      <c r="H245" s="3">
        <v>0</v>
      </c>
    </row>
    <row r="246" spans="1:8" ht="20.100000000000001" customHeight="1">
      <c r="A246" t="s">
        <v>258</v>
      </c>
      <c r="B246" s="3">
        <v>31</v>
      </c>
      <c r="C246" s="2">
        <v>8400000</v>
      </c>
      <c r="D246" s="2">
        <v>12900000</v>
      </c>
      <c r="E246" t="s">
        <v>14</v>
      </c>
      <c r="F246" t="s">
        <v>12</v>
      </c>
      <c r="G246" t="s">
        <v>10</v>
      </c>
      <c r="H246" s="3">
        <v>1</v>
      </c>
    </row>
    <row r="247" spans="1:8" ht="20.100000000000001" customHeight="1">
      <c r="A247" t="s">
        <v>259</v>
      </c>
      <c r="B247" s="3">
        <v>30</v>
      </c>
      <c r="C247" s="2">
        <v>4000000</v>
      </c>
      <c r="D247" s="2">
        <v>28900000</v>
      </c>
      <c r="E247" t="s">
        <v>9</v>
      </c>
      <c r="F247" t="s">
        <v>12</v>
      </c>
      <c r="G247" t="s">
        <v>10</v>
      </c>
      <c r="H247" s="3">
        <v>0</v>
      </c>
    </row>
    <row r="248" spans="1:8" ht="20.100000000000001" customHeight="1">
      <c r="A248" t="s">
        <v>260</v>
      </c>
      <c r="B248" s="3">
        <v>25</v>
      </c>
      <c r="C248" s="2">
        <v>10200000</v>
      </c>
      <c r="D248" s="2">
        <v>84500000</v>
      </c>
      <c r="E248" t="s">
        <v>14</v>
      </c>
      <c r="F248" t="s">
        <v>12</v>
      </c>
      <c r="G248" t="s">
        <v>12</v>
      </c>
      <c r="H248" s="3">
        <v>0</v>
      </c>
    </row>
    <row r="249" spans="1:8" ht="20.100000000000001" customHeight="1">
      <c r="A249" t="s">
        <v>261</v>
      </c>
      <c r="B249" s="3">
        <v>46</v>
      </c>
      <c r="C249" s="2">
        <v>7600000</v>
      </c>
      <c r="D249" s="2">
        <v>38200000</v>
      </c>
      <c r="E249" t="s">
        <v>9</v>
      </c>
      <c r="F249" t="s">
        <v>12</v>
      </c>
      <c r="G249" t="s">
        <v>12</v>
      </c>
      <c r="H249" s="3">
        <v>0</v>
      </c>
    </row>
    <row r="250" spans="1:8" ht="20.100000000000001" customHeight="1">
      <c r="A250" t="s">
        <v>262</v>
      </c>
      <c r="B250" s="3">
        <v>62</v>
      </c>
      <c r="C250" s="2">
        <v>9100000</v>
      </c>
      <c r="D250" s="2">
        <v>17900000</v>
      </c>
      <c r="E250" t="s">
        <v>16</v>
      </c>
      <c r="F250" t="s">
        <v>12</v>
      </c>
      <c r="G250" t="s">
        <v>12</v>
      </c>
      <c r="H250" s="3">
        <v>1</v>
      </c>
    </row>
    <row r="251" spans="1:8" ht="20.100000000000001" customHeight="1">
      <c r="A251" t="s">
        <v>263</v>
      </c>
      <c r="B251" s="3">
        <v>64</v>
      </c>
      <c r="C251" s="2">
        <v>7500000</v>
      </c>
      <c r="D251" s="2">
        <v>76200000</v>
      </c>
      <c r="E251" t="s">
        <v>31</v>
      </c>
      <c r="F251" t="s">
        <v>12</v>
      </c>
      <c r="G251" t="s">
        <v>10</v>
      </c>
      <c r="H251" s="3">
        <v>1</v>
      </c>
    </row>
    <row r="252" spans="1:8" ht="20.100000000000001" customHeight="1">
      <c r="A252" t="s">
        <v>264</v>
      </c>
      <c r="B252" s="3">
        <v>48</v>
      </c>
      <c r="C252" s="2">
        <v>7400000</v>
      </c>
      <c r="D252" s="2">
        <v>67900000</v>
      </c>
      <c r="E252" t="s">
        <v>14</v>
      </c>
      <c r="F252" t="s">
        <v>12</v>
      </c>
      <c r="G252" t="s">
        <v>10</v>
      </c>
      <c r="H252" s="3">
        <v>0</v>
      </c>
    </row>
    <row r="253" spans="1:8" ht="20.100000000000001" customHeight="1">
      <c r="A253" t="s">
        <v>265</v>
      </c>
      <c r="B253" s="3">
        <v>44</v>
      </c>
      <c r="C253" s="2">
        <v>6500000</v>
      </c>
      <c r="D253" s="2">
        <v>7800000</v>
      </c>
      <c r="E253" t="s">
        <v>9</v>
      </c>
      <c r="F253" t="s">
        <v>12</v>
      </c>
      <c r="G253" t="s">
        <v>10</v>
      </c>
      <c r="H253" s="3">
        <v>0</v>
      </c>
    </row>
    <row r="254" spans="1:8" ht="20.100000000000001" customHeight="1">
      <c r="A254" t="s">
        <v>266</v>
      </c>
      <c r="B254" s="3">
        <v>70</v>
      </c>
      <c r="C254" s="2">
        <v>4700000</v>
      </c>
      <c r="D254" s="2">
        <v>26300000</v>
      </c>
      <c r="E254" t="s">
        <v>31</v>
      </c>
      <c r="F254" t="s">
        <v>12</v>
      </c>
      <c r="G254" t="s">
        <v>10</v>
      </c>
      <c r="H254" s="3">
        <v>0</v>
      </c>
    </row>
    <row r="255" spans="1:8" ht="20.100000000000001" customHeight="1">
      <c r="A255" t="s">
        <v>267</v>
      </c>
      <c r="B255" s="3">
        <v>34</v>
      </c>
      <c r="C255" s="2">
        <v>5600000</v>
      </c>
      <c r="D255" s="2">
        <v>8900000</v>
      </c>
      <c r="E255" t="s">
        <v>14</v>
      </c>
      <c r="F255" t="s">
        <v>10</v>
      </c>
      <c r="G255" t="s">
        <v>12</v>
      </c>
      <c r="H255" s="3">
        <v>0</v>
      </c>
    </row>
    <row r="256" spans="1:8" ht="20.100000000000001" customHeight="1">
      <c r="A256" t="s">
        <v>268</v>
      </c>
      <c r="B256" s="3">
        <v>31</v>
      </c>
      <c r="C256" s="2">
        <v>2500000</v>
      </c>
      <c r="D256" s="2">
        <v>3000000</v>
      </c>
      <c r="E256" t="s">
        <v>9</v>
      </c>
      <c r="F256" t="s">
        <v>10</v>
      </c>
      <c r="G256" t="s">
        <v>10</v>
      </c>
      <c r="H256" s="3">
        <v>0</v>
      </c>
    </row>
    <row r="257" spans="1:8" ht="20.100000000000001" customHeight="1">
      <c r="A257" t="s">
        <v>269</v>
      </c>
      <c r="B257" s="3">
        <v>40</v>
      </c>
      <c r="C257" s="2">
        <v>5500000</v>
      </c>
      <c r="D257" s="2">
        <v>9300000</v>
      </c>
      <c r="E257" t="s">
        <v>9</v>
      </c>
      <c r="F257" t="s">
        <v>10</v>
      </c>
      <c r="G257" t="s">
        <v>12</v>
      </c>
      <c r="H257" s="3">
        <v>0</v>
      </c>
    </row>
    <row r="258" spans="1:8" ht="20.100000000000001" customHeight="1">
      <c r="A258" t="s">
        <v>270</v>
      </c>
      <c r="B258" s="3">
        <v>52</v>
      </c>
      <c r="C258" s="2">
        <v>4000000</v>
      </c>
      <c r="D258" s="2">
        <v>6000000</v>
      </c>
      <c r="E258" t="s">
        <v>14</v>
      </c>
      <c r="F258" t="s">
        <v>10</v>
      </c>
      <c r="G258" t="s">
        <v>12</v>
      </c>
      <c r="H258" s="3">
        <v>0</v>
      </c>
    </row>
    <row r="259" spans="1:8" ht="20.100000000000001" customHeight="1">
      <c r="A259" t="s">
        <v>271</v>
      </c>
      <c r="B259" s="3">
        <v>41</v>
      </c>
      <c r="C259" s="2">
        <v>9900000</v>
      </c>
      <c r="D259" s="2">
        <v>61600000</v>
      </c>
      <c r="E259" t="s">
        <v>14</v>
      </c>
      <c r="F259" t="s">
        <v>10</v>
      </c>
      <c r="G259" t="s">
        <v>12</v>
      </c>
      <c r="H259" s="3">
        <v>0</v>
      </c>
    </row>
    <row r="260" spans="1:8" ht="20.100000000000001" customHeight="1">
      <c r="A260" t="s">
        <v>272</v>
      </c>
      <c r="B260" s="3">
        <v>31</v>
      </c>
      <c r="C260" s="2">
        <v>3300000</v>
      </c>
      <c r="D260" s="2">
        <v>3500000</v>
      </c>
      <c r="E260" t="s">
        <v>9</v>
      </c>
      <c r="F260" t="s">
        <v>12</v>
      </c>
      <c r="G260" t="s">
        <v>12</v>
      </c>
      <c r="H260" s="3">
        <v>0</v>
      </c>
    </row>
    <row r="261" spans="1:8" ht="20.100000000000001" customHeight="1">
      <c r="A261" t="s">
        <v>273</v>
      </c>
      <c r="B261" s="3">
        <v>49</v>
      </c>
      <c r="C261" s="2">
        <v>4700000</v>
      </c>
      <c r="D261" s="2">
        <v>71100000</v>
      </c>
      <c r="E261" t="s">
        <v>14</v>
      </c>
      <c r="F261" t="s">
        <v>12</v>
      </c>
      <c r="G261" t="s">
        <v>12</v>
      </c>
      <c r="H261" s="3">
        <v>1</v>
      </c>
    </row>
    <row r="262" spans="1:8" ht="20.100000000000001" customHeight="1">
      <c r="A262" t="s">
        <v>274</v>
      </c>
      <c r="B262" s="3">
        <v>28</v>
      </c>
      <c r="C262" s="2">
        <v>6400000</v>
      </c>
      <c r="D262" s="2">
        <v>24400000</v>
      </c>
      <c r="E262" t="s">
        <v>9</v>
      </c>
      <c r="F262" t="s">
        <v>10</v>
      </c>
      <c r="G262" t="s">
        <v>12</v>
      </c>
      <c r="H262" s="3">
        <v>0</v>
      </c>
    </row>
    <row r="263" spans="1:8" ht="20.100000000000001" customHeight="1">
      <c r="A263" t="s">
        <v>275</v>
      </c>
      <c r="B263" s="3">
        <v>36</v>
      </c>
      <c r="C263" s="2">
        <v>7200000</v>
      </c>
      <c r="D263" s="2">
        <v>47700000</v>
      </c>
      <c r="E263" t="s">
        <v>9</v>
      </c>
      <c r="F263" t="s">
        <v>12</v>
      </c>
      <c r="G263" t="s">
        <v>12</v>
      </c>
      <c r="H263" s="3">
        <v>1</v>
      </c>
    </row>
    <row r="264" spans="1:8" ht="20.100000000000001" customHeight="1">
      <c r="A264" t="s">
        <v>276</v>
      </c>
      <c r="B264" s="3">
        <v>37</v>
      </c>
      <c r="C264" s="2">
        <v>6400000</v>
      </c>
      <c r="D264" s="2">
        <v>9500000</v>
      </c>
      <c r="E264" t="s">
        <v>9</v>
      </c>
      <c r="F264" t="s">
        <v>10</v>
      </c>
      <c r="G264" t="s">
        <v>12</v>
      </c>
      <c r="H264" s="3">
        <v>1</v>
      </c>
    </row>
    <row r="265" spans="1:8" ht="20.100000000000001" customHeight="1">
      <c r="A265" t="s">
        <v>277</v>
      </c>
      <c r="B265" s="3">
        <v>44</v>
      </c>
      <c r="C265" s="2">
        <v>7300000</v>
      </c>
      <c r="D265" s="2">
        <v>29600000</v>
      </c>
      <c r="E265" t="s">
        <v>9</v>
      </c>
      <c r="F265" t="s">
        <v>12</v>
      </c>
      <c r="G265" t="s">
        <v>12</v>
      </c>
      <c r="H265" s="3">
        <v>1</v>
      </c>
    </row>
    <row r="266" spans="1:8" ht="20.100000000000001" customHeight="1">
      <c r="A266" t="s">
        <v>278</v>
      </c>
      <c r="B266" s="3">
        <v>21</v>
      </c>
      <c r="C266" s="2">
        <v>5000000</v>
      </c>
      <c r="D266" s="2">
        <v>12500000</v>
      </c>
      <c r="E266" t="s">
        <v>14</v>
      </c>
      <c r="F266" t="s">
        <v>12</v>
      </c>
      <c r="G266" t="s">
        <v>12</v>
      </c>
      <c r="H266" s="3">
        <v>0</v>
      </c>
    </row>
    <row r="267" spans="1:8" ht="20.100000000000001" customHeight="1">
      <c r="A267" t="s">
        <v>279</v>
      </c>
      <c r="B267" s="3">
        <v>36</v>
      </c>
      <c r="C267" s="2">
        <v>5900000</v>
      </c>
      <c r="D267" s="2">
        <v>61400000</v>
      </c>
      <c r="E267" t="s">
        <v>16</v>
      </c>
      <c r="F267" t="s">
        <v>10</v>
      </c>
      <c r="G267" t="s">
        <v>10</v>
      </c>
      <c r="H267" s="3">
        <v>1</v>
      </c>
    </row>
    <row r="268" spans="1:8" ht="20.100000000000001" customHeight="1">
      <c r="A268" t="s">
        <v>280</v>
      </c>
      <c r="B268" s="3">
        <v>37</v>
      </c>
      <c r="C268" s="2">
        <v>8200000</v>
      </c>
      <c r="D268" s="2">
        <v>59100000</v>
      </c>
      <c r="E268" t="s">
        <v>9</v>
      </c>
      <c r="F268" t="s">
        <v>10</v>
      </c>
      <c r="G268" t="s">
        <v>12</v>
      </c>
      <c r="H268" s="3">
        <v>0</v>
      </c>
    </row>
    <row r="269" spans="1:8" ht="20.100000000000001" customHeight="1">
      <c r="A269" t="s">
        <v>281</v>
      </c>
      <c r="B269" s="3">
        <v>41</v>
      </c>
      <c r="C269" s="2">
        <v>10300000</v>
      </c>
      <c r="D269" s="2">
        <v>155000000</v>
      </c>
      <c r="E269" t="s">
        <v>16</v>
      </c>
      <c r="F269" t="s">
        <v>10</v>
      </c>
      <c r="G269" t="s">
        <v>12</v>
      </c>
      <c r="H269" s="3">
        <v>0</v>
      </c>
    </row>
    <row r="270" spans="1:8" ht="20.100000000000001" customHeight="1">
      <c r="A270" t="s">
        <v>282</v>
      </c>
      <c r="B270" s="3">
        <v>44</v>
      </c>
      <c r="C270" s="2">
        <v>8600000</v>
      </c>
      <c r="D270" s="2">
        <v>20200000</v>
      </c>
      <c r="E270" t="s">
        <v>14</v>
      </c>
      <c r="F270" t="s">
        <v>12</v>
      </c>
      <c r="G270" t="s">
        <v>10</v>
      </c>
      <c r="H270" s="3">
        <v>0</v>
      </c>
    </row>
    <row r="271" spans="1:8" ht="20.100000000000001" customHeight="1">
      <c r="A271" t="s">
        <v>283</v>
      </c>
      <c r="B271" s="3">
        <v>21</v>
      </c>
      <c r="C271" s="2">
        <v>6700000</v>
      </c>
      <c r="D271" s="2">
        <v>31800000</v>
      </c>
      <c r="E271" t="s">
        <v>16</v>
      </c>
      <c r="F271" t="s">
        <v>10</v>
      </c>
      <c r="G271" t="s">
        <v>12</v>
      </c>
      <c r="H271" s="3">
        <v>0</v>
      </c>
    </row>
    <row r="272" spans="1:8" ht="20.100000000000001" customHeight="1">
      <c r="A272" t="s">
        <v>284</v>
      </c>
      <c r="B272" s="3">
        <v>29</v>
      </c>
      <c r="C272" s="2">
        <v>8600000</v>
      </c>
      <c r="D272" s="2">
        <v>24700000</v>
      </c>
      <c r="E272" t="s">
        <v>9</v>
      </c>
      <c r="F272" t="s">
        <v>10</v>
      </c>
      <c r="G272" t="s">
        <v>12</v>
      </c>
      <c r="H272" s="3">
        <v>0</v>
      </c>
    </row>
    <row r="273" spans="1:8" ht="20.100000000000001" customHeight="1">
      <c r="A273" t="s">
        <v>285</v>
      </c>
      <c r="B273" s="3">
        <v>44</v>
      </c>
      <c r="C273" s="2">
        <v>9300000</v>
      </c>
      <c r="D273" s="2">
        <v>33500000</v>
      </c>
      <c r="E273" t="s">
        <v>16</v>
      </c>
      <c r="F273" t="s">
        <v>12</v>
      </c>
      <c r="G273" t="s">
        <v>12</v>
      </c>
      <c r="H273" s="3">
        <v>0</v>
      </c>
    </row>
    <row r="274" spans="1:8" ht="20.100000000000001" customHeight="1">
      <c r="A274" t="s">
        <v>286</v>
      </c>
      <c r="B274" s="3">
        <v>48</v>
      </c>
      <c r="C274" s="2">
        <v>8200000</v>
      </c>
      <c r="D274" s="2">
        <v>138300000</v>
      </c>
      <c r="E274" t="s">
        <v>16</v>
      </c>
      <c r="F274" t="s">
        <v>10</v>
      </c>
      <c r="G274" t="s">
        <v>10</v>
      </c>
      <c r="H274" s="3">
        <v>0</v>
      </c>
    </row>
    <row r="275" spans="1:8" ht="20.100000000000001" customHeight="1">
      <c r="A275" t="s">
        <v>287</v>
      </c>
      <c r="B275" s="3">
        <v>65</v>
      </c>
      <c r="C275" s="2">
        <v>9400000</v>
      </c>
      <c r="D275" s="2">
        <v>86600000</v>
      </c>
      <c r="E275" t="s">
        <v>16</v>
      </c>
      <c r="F275" t="s">
        <v>10</v>
      </c>
      <c r="G275" t="s">
        <v>12</v>
      </c>
      <c r="H275" s="3">
        <v>1</v>
      </c>
    </row>
    <row r="276" spans="1:8" ht="20.100000000000001" customHeight="1">
      <c r="A276" t="s">
        <v>288</v>
      </c>
      <c r="B276" s="3">
        <v>57</v>
      </c>
      <c r="C276" s="2">
        <v>3600000</v>
      </c>
      <c r="D276" s="2">
        <v>15800000</v>
      </c>
      <c r="E276" t="s">
        <v>31</v>
      </c>
      <c r="F276" t="s">
        <v>12</v>
      </c>
      <c r="G276" t="s">
        <v>10</v>
      </c>
      <c r="H276" s="3">
        <v>0</v>
      </c>
    </row>
    <row r="277" spans="1:8" ht="20.100000000000001" customHeight="1">
      <c r="A277" t="s">
        <v>289</v>
      </c>
      <c r="B277" s="3">
        <v>28</v>
      </c>
      <c r="C277" s="2">
        <v>4400000</v>
      </c>
      <c r="D277" s="2">
        <v>3500000</v>
      </c>
      <c r="E277" t="s">
        <v>9</v>
      </c>
      <c r="F277" t="s">
        <v>12</v>
      </c>
      <c r="G277" t="s">
        <v>12</v>
      </c>
      <c r="H277" s="3">
        <v>0</v>
      </c>
    </row>
    <row r="278" spans="1:8" ht="20.100000000000001" customHeight="1">
      <c r="A278" t="s">
        <v>290</v>
      </c>
      <c r="B278" s="3">
        <v>40</v>
      </c>
      <c r="C278" s="2">
        <v>7400000</v>
      </c>
      <c r="D278" s="2">
        <v>2400000</v>
      </c>
      <c r="E278" t="s">
        <v>9</v>
      </c>
      <c r="F278" t="s">
        <v>10</v>
      </c>
      <c r="G278" t="s">
        <v>10</v>
      </c>
      <c r="H278" s="3">
        <v>0</v>
      </c>
    </row>
    <row r="279" spans="1:8" ht="20.100000000000001" customHeight="1">
      <c r="A279" t="s">
        <v>291</v>
      </c>
      <c r="B279" s="3">
        <v>46</v>
      </c>
      <c r="C279" s="2">
        <v>5600000</v>
      </c>
      <c r="D279" s="2">
        <v>155000000</v>
      </c>
      <c r="E279" t="s">
        <v>9</v>
      </c>
      <c r="F279" t="s">
        <v>10</v>
      </c>
      <c r="G279" t="s">
        <v>12</v>
      </c>
      <c r="H279" s="3">
        <v>1</v>
      </c>
    </row>
    <row r="280" spans="1:8" ht="20.100000000000001" customHeight="1">
      <c r="A280" t="s">
        <v>292</v>
      </c>
      <c r="B280" s="3">
        <v>55</v>
      </c>
      <c r="C280" s="2">
        <v>2700000</v>
      </c>
      <c r="D280" s="2">
        <v>7100000</v>
      </c>
      <c r="E280" t="s">
        <v>31</v>
      </c>
      <c r="F280" t="s">
        <v>10</v>
      </c>
      <c r="G280" t="s">
        <v>10</v>
      </c>
      <c r="H280" s="3">
        <v>0</v>
      </c>
    </row>
    <row r="281" spans="1:8" ht="20.100000000000001" customHeight="1">
      <c r="A281" t="s">
        <v>293</v>
      </c>
      <c r="B281" s="3">
        <v>32</v>
      </c>
      <c r="C281" s="2">
        <v>6200000</v>
      </c>
      <c r="D281" s="2">
        <v>25400000</v>
      </c>
      <c r="E281" t="s">
        <v>9</v>
      </c>
      <c r="F281" t="s">
        <v>12</v>
      </c>
      <c r="G281" t="s">
        <v>10</v>
      </c>
      <c r="H281" s="3">
        <v>0</v>
      </c>
    </row>
    <row r="282" spans="1:8" ht="20.100000000000001" customHeight="1">
      <c r="A282" t="s">
        <v>294</v>
      </c>
      <c r="B282" s="3">
        <v>51</v>
      </c>
      <c r="C282" s="2">
        <v>3100000</v>
      </c>
      <c r="D282" s="2">
        <v>23400000</v>
      </c>
      <c r="E282" t="s">
        <v>16</v>
      </c>
      <c r="F282" t="s">
        <v>12</v>
      </c>
      <c r="G282" t="s">
        <v>12</v>
      </c>
      <c r="H282" s="3">
        <v>1</v>
      </c>
    </row>
    <row r="283" spans="1:8" ht="20.100000000000001" customHeight="1">
      <c r="A283" t="s">
        <v>295</v>
      </c>
      <c r="B283" s="3">
        <v>54</v>
      </c>
      <c r="C283" s="2">
        <v>6100000</v>
      </c>
      <c r="D283" s="2">
        <v>38700000</v>
      </c>
      <c r="E283" t="s">
        <v>16</v>
      </c>
      <c r="F283" t="s">
        <v>12</v>
      </c>
      <c r="G283" t="s">
        <v>10</v>
      </c>
      <c r="H283" s="3">
        <v>1</v>
      </c>
    </row>
    <row r="284" spans="1:8" ht="20.100000000000001" customHeight="1">
      <c r="A284" t="s">
        <v>296</v>
      </c>
      <c r="B284" s="3">
        <v>36</v>
      </c>
      <c r="C284" s="2">
        <v>8200000</v>
      </c>
      <c r="D284" s="2">
        <v>20900000</v>
      </c>
      <c r="E284" t="s">
        <v>9</v>
      </c>
      <c r="F284" t="s">
        <v>12</v>
      </c>
      <c r="G284" t="s">
        <v>10</v>
      </c>
      <c r="H284" s="3">
        <v>0</v>
      </c>
    </row>
    <row r="285" spans="1:8" ht="20.100000000000001" customHeight="1">
      <c r="A285" t="s">
        <v>297</v>
      </c>
      <c r="B285" s="3">
        <v>51</v>
      </c>
      <c r="C285" s="2">
        <v>8500000</v>
      </c>
      <c r="D285" s="2">
        <v>57600000</v>
      </c>
      <c r="E285" t="s">
        <v>9</v>
      </c>
      <c r="F285" t="s">
        <v>12</v>
      </c>
      <c r="G285" t="s">
        <v>10</v>
      </c>
      <c r="H285" s="3">
        <v>0</v>
      </c>
    </row>
    <row r="286" spans="1:8" ht="20.100000000000001" customHeight="1">
      <c r="A286" t="s">
        <v>298</v>
      </c>
      <c r="B286" s="3">
        <v>30</v>
      </c>
      <c r="C286" s="2">
        <v>6900000</v>
      </c>
      <c r="D286" s="2">
        <v>8900000</v>
      </c>
      <c r="E286" t="s">
        <v>14</v>
      </c>
      <c r="F286" t="s">
        <v>10</v>
      </c>
      <c r="G286" t="s">
        <v>10</v>
      </c>
      <c r="H286" s="3">
        <v>0</v>
      </c>
    </row>
    <row r="287" spans="1:8" ht="20.100000000000001" customHeight="1">
      <c r="A287" t="s">
        <v>299</v>
      </c>
      <c r="B287" s="3">
        <v>44</v>
      </c>
      <c r="C287" s="2">
        <v>4400000</v>
      </c>
      <c r="D287" s="2">
        <v>10400000</v>
      </c>
      <c r="E287" t="s">
        <v>14</v>
      </c>
      <c r="F287" t="s">
        <v>12</v>
      </c>
      <c r="G287" t="s">
        <v>10</v>
      </c>
      <c r="H287" s="3">
        <v>1</v>
      </c>
    </row>
    <row r="288" spans="1:8" ht="20.100000000000001" customHeight="1">
      <c r="A288" t="s">
        <v>300</v>
      </c>
      <c r="B288" s="3">
        <v>39</v>
      </c>
      <c r="C288" s="2">
        <v>3800000</v>
      </c>
      <c r="D288" s="2">
        <v>8700000</v>
      </c>
      <c r="E288" t="s">
        <v>9</v>
      </c>
      <c r="F288" t="s">
        <v>12</v>
      </c>
      <c r="G288" t="s">
        <v>12</v>
      </c>
      <c r="H288" s="3">
        <v>0</v>
      </c>
    </row>
    <row r="289" spans="1:8" ht="20.100000000000001" customHeight="1">
      <c r="A289" t="s">
        <v>301</v>
      </c>
      <c r="B289" s="3">
        <v>35</v>
      </c>
      <c r="C289" s="2">
        <v>7800000</v>
      </c>
      <c r="D289" s="2">
        <v>22400000</v>
      </c>
      <c r="E289" t="s">
        <v>9</v>
      </c>
      <c r="F289" t="s">
        <v>10</v>
      </c>
      <c r="G289" t="s">
        <v>12</v>
      </c>
      <c r="H289" s="3">
        <v>1</v>
      </c>
    </row>
    <row r="290" spans="1:8" ht="20.100000000000001" customHeight="1">
      <c r="A290" t="s">
        <v>302</v>
      </c>
      <c r="B290" s="3">
        <v>37</v>
      </c>
      <c r="C290" s="2">
        <v>7000000</v>
      </c>
      <c r="D290" s="2">
        <v>6900000</v>
      </c>
      <c r="E290" t="s">
        <v>14</v>
      </c>
      <c r="F290" t="s">
        <v>12</v>
      </c>
      <c r="G290" t="s">
        <v>10</v>
      </c>
      <c r="H290" s="3">
        <v>0</v>
      </c>
    </row>
    <row r="291" spans="1:8" ht="20.100000000000001" customHeight="1">
      <c r="A291" t="s">
        <v>303</v>
      </c>
      <c r="B291" s="3">
        <v>36</v>
      </c>
      <c r="C291" s="2">
        <v>7600000</v>
      </c>
      <c r="D291" s="2">
        <v>18100000</v>
      </c>
      <c r="E291" t="s">
        <v>16</v>
      </c>
      <c r="F291" t="s">
        <v>10</v>
      </c>
      <c r="G291" t="s">
        <v>12</v>
      </c>
      <c r="H291" s="3">
        <v>0</v>
      </c>
    </row>
    <row r="292" spans="1:8" ht="20.100000000000001" customHeight="1">
      <c r="A292" t="s">
        <v>304</v>
      </c>
      <c r="B292" s="3">
        <v>23</v>
      </c>
      <c r="C292" s="2">
        <v>4600000</v>
      </c>
      <c r="D292" s="2">
        <v>17100000</v>
      </c>
      <c r="E292" t="s">
        <v>16</v>
      </c>
      <c r="F292" t="s">
        <v>12</v>
      </c>
      <c r="G292" t="s">
        <v>10</v>
      </c>
      <c r="H292" s="3">
        <v>0</v>
      </c>
    </row>
    <row r="293" spans="1:8" ht="20.100000000000001" customHeight="1">
      <c r="A293" t="s">
        <v>305</v>
      </c>
      <c r="B293" s="3">
        <v>43</v>
      </c>
      <c r="C293" s="2">
        <v>5600000</v>
      </c>
      <c r="D293" s="2">
        <v>32600000</v>
      </c>
      <c r="E293" t="s">
        <v>14</v>
      </c>
      <c r="F293" t="s">
        <v>12</v>
      </c>
      <c r="G293" t="s">
        <v>10</v>
      </c>
      <c r="H293" s="3">
        <v>1</v>
      </c>
    </row>
    <row r="294" spans="1:8" ht="20.100000000000001" customHeight="1">
      <c r="A294" t="s">
        <v>306</v>
      </c>
      <c r="B294" s="3">
        <v>27</v>
      </c>
      <c r="C294" s="2">
        <v>6300000</v>
      </c>
      <c r="D294" s="2">
        <v>2700000</v>
      </c>
      <c r="E294" t="s">
        <v>9</v>
      </c>
      <c r="F294" t="s">
        <v>12</v>
      </c>
      <c r="G294" t="s">
        <v>10</v>
      </c>
      <c r="H294" s="3">
        <v>0</v>
      </c>
    </row>
    <row r="295" spans="1:8" ht="20.100000000000001" customHeight="1">
      <c r="A295" t="s">
        <v>307</v>
      </c>
      <c r="B295" s="3">
        <v>27</v>
      </c>
      <c r="C295" s="2">
        <v>4500000</v>
      </c>
      <c r="D295" s="2">
        <v>8500000</v>
      </c>
      <c r="E295" t="s">
        <v>14</v>
      </c>
      <c r="F295" t="s">
        <v>10</v>
      </c>
      <c r="G295" t="s">
        <v>12</v>
      </c>
      <c r="H295" s="3">
        <v>0</v>
      </c>
    </row>
    <row r="296" spans="1:8" ht="20.100000000000001" customHeight="1">
      <c r="A296" t="s">
        <v>308</v>
      </c>
      <c r="B296" s="3">
        <v>21</v>
      </c>
      <c r="C296" s="2">
        <v>6800000</v>
      </c>
      <c r="D296" s="2">
        <v>34900000</v>
      </c>
      <c r="E296" t="s">
        <v>9</v>
      </c>
      <c r="F296" t="s">
        <v>12</v>
      </c>
      <c r="G296" t="s">
        <v>12</v>
      </c>
      <c r="H296" s="3">
        <v>0</v>
      </c>
    </row>
    <row r="297" spans="1:8" ht="20.100000000000001" customHeight="1">
      <c r="A297" t="s">
        <v>309</v>
      </c>
      <c r="B297" s="3">
        <v>40</v>
      </c>
      <c r="C297" s="2">
        <v>7900000</v>
      </c>
      <c r="D297" s="2">
        <v>18200000</v>
      </c>
      <c r="E297" t="s">
        <v>16</v>
      </c>
      <c r="F297" t="s">
        <v>12</v>
      </c>
      <c r="G297" t="s">
        <v>12</v>
      </c>
      <c r="H297" s="3">
        <v>0</v>
      </c>
    </row>
    <row r="298" spans="1:8" ht="20.100000000000001" customHeight="1">
      <c r="A298" t="s">
        <v>310</v>
      </c>
      <c r="B298" s="3">
        <v>42</v>
      </c>
      <c r="C298" s="2">
        <v>4200000</v>
      </c>
      <c r="D298" s="2">
        <v>7800000</v>
      </c>
      <c r="E298" t="s">
        <v>16</v>
      </c>
      <c r="F298" t="s">
        <v>12</v>
      </c>
      <c r="G298" t="s">
        <v>12</v>
      </c>
      <c r="H298" s="3">
        <v>0</v>
      </c>
    </row>
    <row r="299" spans="1:8" ht="20.100000000000001" customHeight="1">
      <c r="A299" t="s">
        <v>311</v>
      </c>
      <c r="B299" s="3">
        <v>38</v>
      </c>
      <c r="C299" s="2">
        <v>8400000</v>
      </c>
      <c r="D299" s="2">
        <v>21300000</v>
      </c>
      <c r="E299" t="s">
        <v>9</v>
      </c>
      <c r="F299" t="s">
        <v>12</v>
      </c>
      <c r="G299" t="s">
        <v>12</v>
      </c>
      <c r="H299" s="3">
        <v>0</v>
      </c>
    </row>
    <row r="300" spans="1:8" ht="20.100000000000001" customHeight="1">
      <c r="A300" t="s">
        <v>312</v>
      </c>
      <c r="B300" s="3">
        <v>42</v>
      </c>
      <c r="C300" s="2">
        <v>10900000</v>
      </c>
      <c r="D300" s="2">
        <v>57100000</v>
      </c>
      <c r="E300" t="s">
        <v>16</v>
      </c>
      <c r="F300" t="s">
        <v>12</v>
      </c>
      <c r="G300" t="s">
        <v>12</v>
      </c>
      <c r="H300" s="3">
        <v>1</v>
      </c>
    </row>
    <row r="301" spans="1:8" ht="20.100000000000001" customHeight="1">
      <c r="A301" t="s">
        <v>313</v>
      </c>
      <c r="B301" s="3">
        <v>40</v>
      </c>
      <c r="C301" s="2">
        <v>5800000</v>
      </c>
      <c r="D301" s="2">
        <v>11500000</v>
      </c>
      <c r="E301" t="s">
        <v>9</v>
      </c>
      <c r="F301" t="s">
        <v>10</v>
      </c>
      <c r="G301" t="s">
        <v>12</v>
      </c>
      <c r="H301" s="3">
        <v>1</v>
      </c>
    </row>
    <row r="302" spans="1:8" ht="20.100000000000001" customHeight="1">
      <c r="A302" t="s">
        <v>314</v>
      </c>
      <c r="B302" s="3">
        <v>41</v>
      </c>
      <c r="C302" s="2">
        <v>5400000</v>
      </c>
      <c r="D302" s="2">
        <v>52000000</v>
      </c>
      <c r="E302" t="s">
        <v>14</v>
      </c>
      <c r="F302" t="s">
        <v>10</v>
      </c>
      <c r="G302" t="s">
        <v>12</v>
      </c>
      <c r="H302" s="3">
        <v>0</v>
      </c>
    </row>
    <row r="303" spans="1:8" ht="20.100000000000001" customHeight="1">
      <c r="A303" t="s">
        <v>315</v>
      </c>
      <c r="B303" s="3">
        <v>36</v>
      </c>
      <c r="C303" s="2">
        <v>4200000</v>
      </c>
      <c r="D303" s="2">
        <v>14400000</v>
      </c>
      <c r="E303" t="s">
        <v>14</v>
      </c>
      <c r="F303" t="s">
        <v>12</v>
      </c>
      <c r="G303" t="s">
        <v>12</v>
      </c>
      <c r="H303" s="3">
        <v>0</v>
      </c>
    </row>
    <row r="304" spans="1:8" ht="20.100000000000001" customHeight="1">
      <c r="A304" t="s">
        <v>316</v>
      </c>
      <c r="B304" s="3">
        <v>28</v>
      </c>
      <c r="C304" s="2">
        <v>4300000</v>
      </c>
      <c r="D304" s="2">
        <v>15700000</v>
      </c>
      <c r="E304" t="s">
        <v>9</v>
      </c>
      <c r="F304" t="s">
        <v>10</v>
      </c>
      <c r="G304" t="s">
        <v>12</v>
      </c>
      <c r="H304" s="3">
        <v>0</v>
      </c>
    </row>
    <row r="305" spans="1:8" ht="20.100000000000001" customHeight="1">
      <c r="A305" t="s">
        <v>317</v>
      </c>
      <c r="B305" s="3">
        <v>41</v>
      </c>
      <c r="C305" s="2">
        <v>7300000</v>
      </c>
      <c r="D305" s="2">
        <v>55000000</v>
      </c>
      <c r="E305" t="s">
        <v>16</v>
      </c>
      <c r="F305" t="s">
        <v>10</v>
      </c>
      <c r="G305" t="s">
        <v>12</v>
      </c>
      <c r="H305" s="3">
        <v>0</v>
      </c>
    </row>
    <row r="306" spans="1:8" ht="20.100000000000001" customHeight="1">
      <c r="A306" t="s">
        <v>318</v>
      </c>
      <c r="B306" s="3">
        <v>50</v>
      </c>
      <c r="C306" s="2">
        <v>8600000</v>
      </c>
      <c r="D306" s="2">
        <v>88400000</v>
      </c>
      <c r="E306" t="s">
        <v>14</v>
      </c>
      <c r="F306" t="s">
        <v>12</v>
      </c>
      <c r="G306" t="s">
        <v>12</v>
      </c>
      <c r="H306" s="3">
        <v>1</v>
      </c>
    </row>
    <row r="307" spans="1:8" ht="20.100000000000001" customHeight="1">
      <c r="A307" t="s">
        <v>319</v>
      </c>
      <c r="B307" s="3">
        <v>44</v>
      </c>
      <c r="C307" s="2">
        <v>7000000</v>
      </c>
      <c r="D307" s="2">
        <v>44000000</v>
      </c>
      <c r="E307" t="s">
        <v>9</v>
      </c>
      <c r="F307" t="s">
        <v>10</v>
      </c>
      <c r="G307" t="s">
        <v>10</v>
      </c>
      <c r="H307" s="3">
        <v>1</v>
      </c>
    </row>
    <row r="308" spans="1:8" ht="20.100000000000001" customHeight="1">
      <c r="A308" t="s">
        <v>320</v>
      </c>
      <c r="B308" s="3">
        <v>54</v>
      </c>
      <c r="C308" s="2">
        <v>4500000</v>
      </c>
      <c r="D308" s="2">
        <v>10100000</v>
      </c>
      <c r="E308" t="s">
        <v>16</v>
      </c>
      <c r="F308" t="s">
        <v>12</v>
      </c>
      <c r="G308" t="s">
        <v>10</v>
      </c>
      <c r="H308" s="3">
        <v>0</v>
      </c>
    </row>
    <row r="309" spans="1:8" ht="20.100000000000001" customHeight="1">
      <c r="A309" t="s">
        <v>321</v>
      </c>
      <c r="B309" s="3">
        <v>48</v>
      </c>
      <c r="C309" s="2">
        <v>6000000</v>
      </c>
      <c r="D309" s="2">
        <v>11400000</v>
      </c>
      <c r="E309" t="s">
        <v>14</v>
      </c>
      <c r="F309" t="s">
        <v>10</v>
      </c>
      <c r="G309" t="s">
        <v>12</v>
      </c>
      <c r="H309" s="3">
        <v>0</v>
      </c>
    </row>
    <row r="310" spans="1:8" ht="20.100000000000001" customHeight="1">
      <c r="A310" t="s">
        <v>322</v>
      </c>
      <c r="B310" s="3">
        <v>59</v>
      </c>
      <c r="C310" s="2">
        <v>7100000</v>
      </c>
      <c r="D310" s="2">
        <v>27600000</v>
      </c>
      <c r="E310" t="s">
        <v>31</v>
      </c>
      <c r="F310" t="s">
        <v>10</v>
      </c>
      <c r="G310" t="s">
        <v>10</v>
      </c>
      <c r="H310" s="3">
        <v>0</v>
      </c>
    </row>
    <row r="311" spans="1:8" ht="20.100000000000001" customHeight="1">
      <c r="A311" t="s">
        <v>323</v>
      </c>
      <c r="B311" s="3">
        <v>58</v>
      </c>
      <c r="C311" s="2">
        <v>7800000</v>
      </c>
      <c r="D311" s="2">
        <v>36200000</v>
      </c>
      <c r="E311" t="s">
        <v>16</v>
      </c>
      <c r="F311" t="s">
        <v>12</v>
      </c>
      <c r="G311" t="s">
        <v>12</v>
      </c>
      <c r="H311" s="3">
        <v>1</v>
      </c>
    </row>
    <row r="312" spans="1:8" ht="20.100000000000001" customHeight="1">
      <c r="A312" t="s">
        <v>324</v>
      </c>
      <c r="B312" s="3">
        <v>48</v>
      </c>
      <c r="C312" s="2">
        <v>5900000</v>
      </c>
      <c r="D312" s="2">
        <v>28400000</v>
      </c>
      <c r="E312" t="s">
        <v>9</v>
      </c>
      <c r="F312" t="s">
        <v>10</v>
      </c>
      <c r="G312" t="s">
        <v>12</v>
      </c>
      <c r="H312" s="3">
        <v>0</v>
      </c>
    </row>
    <row r="313" spans="1:8" ht="20.100000000000001" customHeight="1">
      <c r="A313" t="s">
        <v>325</v>
      </c>
      <c r="B313" s="3">
        <v>34</v>
      </c>
      <c r="C313" s="2">
        <v>15900000</v>
      </c>
      <c r="D313" s="2">
        <v>68900000</v>
      </c>
      <c r="E313" t="s">
        <v>16</v>
      </c>
      <c r="F313" t="s">
        <v>12</v>
      </c>
      <c r="G313" t="s">
        <v>10</v>
      </c>
      <c r="H313" s="3">
        <v>1</v>
      </c>
    </row>
    <row r="314" spans="1:8" ht="20.100000000000001" customHeight="1">
      <c r="A314" t="s">
        <v>326</v>
      </c>
      <c r="B314" s="3">
        <v>56</v>
      </c>
      <c r="C314" s="2">
        <v>14900000</v>
      </c>
      <c r="D314" s="2">
        <v>77900000</v>
      </c>
      <c r="E314" t="s">
        <v>16</v>
      </c>
      <c r="F314" t="s">
        <v>10</v>
      </c>
      <c r="G314" t="s">
        <v>12</v>
      </c>
      <c r="H314" s="3">
        <v>1</v>
      </c>
    </row>
    <row r="315" spans="1:8" ht="20.100000000000001" customHeight="1">
      <c r="A315" t="s">
        <v>327</v>
      </c>
      <c r="B315" s="3">
        <v>30</v>
      </c>
      <c r="C315" s="2">
        <v>8000000</v>
      </c>
      <c r="D315" s="2">
        <v>13400000</v>
      </c>
      <c r="E315" t="s">
        <v>9</v>
      </c>
      <c r="F315" t="s">
        <v>12</v>
      </c>
      <c r="G315" t="s">
        <v>12</v>
      </c>
      <c r="H315" s="3">
        <v>0</v>
      </c>
    </row>
    <row r="316" spans="1:8" ht="20.100000000000001" customHeight="1">
      <c r="A316" t="s">
        <v>328</v>
      </c>
      <c r="B316" s="3">
        <v>39</v>
      </c>
      <c r="C316" s="2">
        <v>13400000</v>
      </c>
      <c r="D316" s="2">
        <v>13900000</v>
      </c>
      <c r="E316" t="s">
        <v>9</v>
      </c>
      <c r="F316" t="s">
        <v>12</v>
      </c>
      <c r="G316" t="s">
        <v>12</v>
      </c>
      <c r="H316" s="3">
        <v>1</v>
      </c>
    </row>
    <row r="317" spans="1:8" ht="20.100000000000001" customHeight="1">
      <c r="A317" t="s">
        <v>329</v>
      </c>
      <c r="B317" s="3">
        <v>51</v>
      </c>
      <c r="C317" s="2">
        <v>5500000</v>
      </c>
      <c r="D317" s="2">
        <v>22200000</v>
      </c>
      <c r="E317" t="s">
        <v>9</v>
      </c>
      <c r="F317" t="s">
        <v>10</v>
      </c>
      <c r="G317" t="s">
        <v>10</v>
      </c>
      <c r="H317" s="3">
        <v>0</v>
      </c>
    </row>
    <row r="318" spans="1:8" ht="20.100000000000001" customHeight="1">
      <c r="A318" t="s">
        <v>330</v>
      </c>
      <c r="B318" s="3">
        <v>48</v>
      </c>
      <c r="C318" s="2">
        <v>8000000</v>
      </c>
      <c r="D318" s="2">
        <v>11300000</v>
      </c>
      <c r="E318" t="s">
        <v>14</v>
      </c>
      <c r="F318" t="s">
        <v>12</v>
      </c>
      <c r="G318" t="s">
        <v>12</v>
      </c>
      <c r="H318" s="3">
        <v>1</v>
      </c>
    </row>
    <row r="319" spans="1:8" ht="20.100000000000001" customHeight="1">
      <c r="A319" t="s">
        <v>331</v>
      </c>
      <c r="B319" s="3">
        <v>42</v>
      </c>
      <c r="C319" s="2">
        <v>12400000</v>
      </c>
      <c r="D319" s="2">
        <v>35000000</v>
      </c>
      <c r="E319" t="s">
        <v>9</v>
      </c>
      <c r="F319" t="s">
        <v>10</v>
      </c>
      <c r="G319" t="s">
        <v>10</v>
      </c>
      <c r="H319" s="3">
        <v>1</v>
      </c>
    </row>
    <row r="320" spans="1:8" ht="20.100000000000001" customHeight="1">
      <c r="A320" t="s">
        <v>332</v>
      </c>
      <c r="B320" s="3">
        <v>38</v>
      </c>
      <c r="C320" s="2">
        <v>4800000</v>
      </c>
      <c r="D320" s="2">
        <v>11400000</v>
      </c>
      <c r="E320" t="s">
        <v>14</v>
      </c>
      <c r="F320" t="s">
        <v>12</v>
      </c>
      <c r="G320" t="s">
        <v>12</v>
      </c>
      <c r="H320" s="3">
        <v>0</v>
      </c>
    </row>
    <row r="321" spans="1:8" ht="20.100000000000001" customHeight="1">
      <c r="A321" t="s">
        <v>333</v>
      </c>
      <c r="B321" s="3">
        <v>43</v>
      </c>
      <c r="C321" s="2">
        <v>6300000</v>
      </c>
      <c r="D321" s="2">
        <v>35000000</v>
      </c>
      <c r="E321" t="s">
        <v>14</v>
      </c>
      <c r="F321" t="s">
        <v>12</v>
      </c>
      <c r="G321" t="s">
        <v>12</v>
      </c>
      <c r="H321" s="3">
        <v>0</v>
      </c>
    </row>
    <row r="322" spans="1:8" ht="20.100000000000001" customHeight="1">
      <c r="A322" t="s">
        <v>334</v>
      </c>
      <c r="B322" s="3">
        <v>40</v>
      </c>
      <c r="C322" s="2">
        <v>5700000</v>
      </c>
      <c r="D322" s="2">
        <v>62000000</v>
      </c>
      <c r="E322" t="s">
        <v>14</v>
      </c>
      <c r="F322" t="s">
        <v>10</v>
      </c>
      <c r="G322" t="s">
        <v>10</v>
      </c>
      <c r="H322" s="3">
        <v>0</v>
      </c>
    </row>
    <row r="323" spans="1:8" ht="20.100000000000001" customHeight="1">
      <c r="A323" t="s">
        <v>335</v>
      </c>
      <c r="B323" s="3">
        <v>30</v>
      </c>
      <c r="C323" s="2">
        <v>4600000</v>
      </c>
      <c r="D323" s="2">
        <v>53600000</v>
      </c>
      <c r="E323" t="s">
        <v>16</v>
      </c>
      <c r="F323" t="s">
        <v>10</v>
      </c>
      <c r="G323" t="s">
        <v>10</v>
      </c>
      <c r="H323" s="3">
        <v>1</v>
      </c>
    </row>
    <row r="324" spans="1:8" ht="20.100000000000001" customHeight="1">
      <c r="A324" t="s">
        <v>336</v>
      </c>
      <c r="B324" s="3">
        <v>45</v>
      </c>
      <c r="C324" s="2">
        <v>8300000</v>
      </c>
      <c r="D324" s="2">
        <v>7600000</v>
      </c>
      <c r="E324" t="s">
        <v>14</v>
      </c>
      <c r="F324" t="s">
        <v>12</v>
      </c>
      <c r="G324" t="s">
        <v>10</v>
      </c>
      <c r="H324" s="3">
        <v>1</v>
      </c>
    </row>
    <row r="325" spans="1:8" ht="20.100000000000001" customHeight="1">
      <c r="A325" t="s">
        <v>337</v>
      </c>
      <c r="B325" s="3">
        <v>41</v>
      </c>
      <c r="C325" s="2">
        <v>6400000</v>
      </c>
      <c r="D325" s="2">
        <v>65700000</v>
      </c>
      <c r="E325" t="s">
        <v>14</v>
      </c>
      <c r="F325" t="s">
        <v>12</v>
      </c>
      <c r="G325" t="s">
        <v>12</v>
      </c>
      <c r="H325" s="3">
        <v>1</v>
      </c>
    </row>
    <row r="326" spans="1:8" ht="20.100000000000001" customHeight="1">
      <c r="A326" t="s">
        <v>338</v>
      </c>
      <c r="B326" s="3">
        <v>47</v>
      </c>
      <c r="C326" s="2">
        <v>5500000</v>
      </c>
      <c r="D326" s="2">
        <v>13900000</v>
      </c>
      <c r="E326" t="s">
        <v>9</v>
      </c>
      <c r="F326" t="s">
        <v>12</v>
      </c>
      <c r="G326" t="s">
        <v>10</v>
      </c>
      <c r="H326" s="3">
        <v>0</v>
      </c>
    </row>
    <row r="327" spans="1:8" ht="20.100000000000001" customHeight="1">
      <c r="A327" t="s">
        <v>339</v>
      </c>
      <c r="B327" s="3">
        <v>33</v>
      </c>
      <c r="C327" s="2">
        <v>4300000</v>
      </c>
      <c r="D327" s="2">
        <v>11400000</v>
      </c>
      <c r="E327" t="s">
        <v>9</v>
      </c>
      <c r="F327" t="s">
        <v>12</v>
      </c>
      <c r="G327" t="s">
        <v>12</v>
      </c>
      <c r="H327" s="3">
        <v>0</v>
      </c>
    </row>
    <row r="328" spans="1:8" ht="20.100000000000001" customHeight="1">
      <c r="A328" t="s">
        <v>340</v>
      </c>
      <c r="B328" s="3">
        <v>64</v>
      </c>
      <c r="C328" s="2">
        <v>4300000</v>
      </c>
      <c r="D328" s="2">
        <v>84500000</v>
      </c>
      <c r="E328" t="s">
        <v>31</v>
      </c>
      <c r="F328" t="s">
        <v>10</v>
      </c>
      <c r="G328" t="s">
        <v>10</v>
      </c>
      <c r="H328" s="3">
        <v>1</v>
      </c>
    </row>
    <row r="329" spans="1:8" ht="20.100000000000001" customHeight="1">
      <c r="A329" t="s">
        <v>341</v>
      </c>
      <c r="B329" s="3">
        <v>30</v>
      </c>
      <c r="C329" s="2">
        <v>8900000</v>
      </c>
      <c r="D329" s="2">
        <v>19000000</v>
      </c>
      <c r="E329" t="s">
        <v>16</v>
      </c>
      <c r="F329" t="s">
        <v>12</v>
      </c>
      <c r="G329" t="s">
        <v>10</v>
      </c>
      <c r="H329" s="3">
        <v>0</v>
      </c>
    </row>
    <row r="330" spans="1:8" ht="20.100000000000001" customHeight="1">
      <c r="A330" t="s">
        <v>342</v>
      </c>
      <c r="B330" s="3">
        <v>21</v>
      </c>
      <c r="C330" s="2">
        <v>6100000</v>
      </c>
      <c r="D330" s="2">
        <v>39700000</v>
      </c>
      <c r="E330" t="s">
        <v>14</v>
      </c>
      <c r="F330" t="s">
        <v>10</v>
      </c>
      <c r="G330" t="s">
        <v>10</v>
      </c>
      <c r="H330" s="3">
        <v>0</v>
      </c>
    </row>
    <row r="331" spans="1:8" ht="20.100000000000001" customHeight="1">
      <c r="A331" t="s">
        <v>343</v>
      </c>
      <c r="B331" s="3">
        <v>63</v>
      </c>
      <c r="C331" s="2">
        <v>5700000</v>
      </c>
      <c r="D331" s="2">
        <v>45500000</v>
      </c>
      <c r="E331" t="s">
        <v>31</v>
      </c>
      <c r="F331" t="s">
        <v>12</v>
      </c>
      <c r="G331" t="s">
        <v>12</v>
      </c>
      <c r="H331" s="3">
        <v>1</v>
      </c>
    </row>
    <row r="332" spans="1:8" ht="20.100000000000001" customHeight="1">
      <c r="A332" t="s">
        <v>344</v>
      </c>
      <c r="B332" s="3">
        <v>45</v>
      </c>
      <c r="C332" s="2">
        <v>10100000</v>
      </c>
      <c r="D332" s="2">
        <v>58300000</v>
      </c>
      <c r="E332" t="s">
        <v>14</v>
      </c>
      <c r="F332" t="s">
        <v>12</v>
      </c>
      <c r="G332" t="s">
        <v>10</v>
      </c>
      <c r="H332" s="3">
        <v>1</v>
      </c>
    </row>
    <row r="333" spans="1:8" ht="20.100000000000001" customHeight="1">
      <c r="A333" t="s">
        <v>345</v>
      </c>
      <c r="B333" s="3">
        <v>23</v>
      </c>
      <c r="C333" s="2">
        <v>3700000</v>
      </c>
      <c r="D333" s="2">
        <v>3400000</v>
      </c>
      <c r="E333" t="s">
        <v>9</v>
      </c>
      <c r="F333" t="s">
        <v>10</v>
      </c>
      <c r="G333" t="s">
        <v>10</v>
      </c>
      <c r="H333" s="3">
        <v>0</v>
      </c>
    </row>
    <row r="334" spans="1:8" ht="20.100000000000001" customHeight="1">
      <c r="A334" t="s">
        <v>346</v>
      </c>
      <c r="B334" s="3">
        <v>64</v>
      </c>
      <c r="C334" s="2">
        <v>4000000</v>
      </c>
      <c r="D334" s="2">
        <v>8500000</v>
      </c>
      <c r="E334" t="s">
        <v>31</v>
      </c>
      <c r="F334" t="s">
        <v>12</v>
      </c>
      <c r="G334" t="s">
        <v>10</v>
      </c>
      <c r="H334" s="3">
        <v>1</v>
      </c>
    </row>
    <row r="335" spans="1:8" ht="20.100000000000001" customHeight="1">
      <c r="A335" t="s">
        <v>347</v>
      </c>
      <c r="B335" s="3">
        <v>49</v>
      </c>
      <c r="C335" s="2">
        <v>4100000</v>
      </c>
      <c r="D335" s="2">
        <v>15300000</v>
      </c>
      <c r="E335" t="s">
        <v>16</v>
      </c>
      <c r="F335" t="s">
        <v>12</v>
      </c>
      <c r="G335" t="s">
        <v>10</v>
      </c>
      <c r="H335" s="3">
        <v>0</v>
      </c>
    </row>
    <row r="336" spans="1:8" ht="20.100000000000001" customHeight="1">
      <c r="A336" t="s">
        <v>348</v>
      </c>
      <c r="B336" s="3">
        <v>48</v>
      </c>
      <c r="C336" s="2">
        <v>8300000</v>
      </c>
      <c r="D336" s="2">
        <v>16300000</v>
      </c>
      <c r="E336" t="s">
        <v>16</v>
      </c>
      <c r="F336" t="s">
        <v>10</v>
      </c>
      <c r="G336" t="s">
        <v>12</v>
      </c>
      <c r="H336" s="3">
        <v>0</v>
      </c>
    </row>
    <row r="337" spans="1:8" ht="20.100000000000001" customHeight="1">
      <c r="A337" t="s">
        <v>349</v>
      </c>
      <c r="B337" s="3">
        <v>46</v>
      </c>
      <c r="C337" s="2">
        <v>10400000</v>
      </c>
      <c r="D337" s="2">
        <v>27100000</v>
      </c>
      <c r="E337" t="s">
        <v>16</v>
      </c>
      <c r="F337" t="s">
        <v>12</v>
      </c>
      <c r="G337" t="s">
        <v>12</v>
      </c>
      <c r="H337" s="3">
        <v>1</v>
      </c>
    </row>
    <row r="338" spans="1:8" ht="20.100000000000001" customHeight="1">
      <c r="A338" t="s">
        <v>350</v>
      </c>
      <c r="B338" s="3">
        <v>27</v>
      </c>
      <c r="C338" s="2">
        <v>2900000</v>
      </c>
      <c r="D338" s="2">
        <v>12500000</v>
      </c>
      <c r="E338" t="s">
        <v>16</v>
      </c>
      <c r="F338" t="s">
        <v>10</v>
      </c>
      <c r="G338" t="s">
        <v>12</v>
      </c>
      <c r="H338" s="3">
        <v>0</v>
      </c>
    </row>
    <row r="339" spans="1:8" ht="20.100000000000001" customHeight="1">
      <c r="A339" t="s">
        <v>351</v>
      </c>
      <c r="B339" s="3">
        <v>46</v>
      </c>
      <c r="C339" s="2">
        <v>9100000</v>
      </c>
      <c r="D339" s="2">
        <v>57500000</v>
      </c>
      <c r="E339" t="s">
        <v>9</v>
      </c>
      <c r="F339" t="s">
        <v>12</v>
      </c>
      <c r="G339" t="s">
        <v>12</v>
      </c>
      <c r="H339" s="3">
        <v>0</v>
      </c>
    </row>
    <row r="340" spans="1:8" ht="20.100000000000001" customHeight="1">
      <c r="A340" t="s">
        <v>352</v>
      </c>
      <c r="B340" s="3">
        <v>45</v>
      </c>
      <c r="C340" s="2">
        <v>5800000</v>
      </c>
      <c r="D340" s="2">
        <v>46300000</v>
      </c>
      <c r="E340" t="s">
        <v>16</v>
      </c>
      <c r="F340" t="s">
        <v>12</v>
      </c>
      <c r="G340" t="s">
        <v>10</v>
      </c>
      <c r="H340" s="3">
        <v>1</v>
      </c>
    </row>
    <row r="341" spans="1:8" ht="20.100000000000001" customHeight="1">
      <c r="A341" t="s">
        <v>353</v>
      </c>
      <c r="B341" s="3">
        <v>33</v>
      </c>
      <c r="C341" s="2">
        <v>8900000</v>
      </c>
      <c r="D341" s="2">
        <v>44000000</v>
      </c>
      <c r="E341" t="s">
        <v>14</v>
      </c>
      <c r="F341" t="s">
        <v>12</v>
      </c>
      <c r="G341" t="s">
        <v>10</v>
      </c>
      <c r="H341" s="3">
        <v>0</v>
      </c>
    </row>
    <row r="342" spans="1:8" ht="20.100000000000001" customHeight="1">
      <c r="A342" t="s">
        <v>354</v>
      </c>
      <c r="B342" s="3">
        <v>54</v>
      </c>
      <c r="C342" s="2">
        <v>7700000</v>
      </c>
      <c r="D342" s="2">
        <v>21800000</v>
      </c>
      <c r="E342" t="s">
        <v>9</v>
      </c>
      <c r="F342" t="s">
        <v>12</v>
      </c>
      <c r="G342" t="s">
        <v>10</v>
      </c>
      <c r="H342" s="3">
        <v>0</v>
      </c>
    </row>
    <row r="343" spans="1:8" ht="20.100000000000001" customHeight="1">
      <c r="A343" t="s">
        <v>355</v>
      </c>
      <c r="B343" s="3">
        <v>36</v>
      </c>
      <c r="C343" s="2">
        <v>12800000</v>
      </c>
      <c r="D343" s="2">
        <v>65100000</v>
      </c>
      <c r="E343" t="s">
        <v>16</v>
      </c>
      <c r="F343" t="s">
        <v>10</v>
      </c>
      <c r="G343" t="s">
        <v>10</v>
      </c>
      <c r="H343" s="3">
        <v>0</v>
      </c>
    </row>
    <row r="344" spans="1:8" ht="20.100000000000001" customHeight="1">
      <c r="A344" t="s">
        <v>356</v>
      </c>
      <c r="B344" s="3">
        <v>21</v>
      </c>
      <c r="C344" s="2">
        <v>5900000</v>
      </c>
      <c r="D344" s="2">
        <v>5000000</v>
      </c>
      <c r="E344" t="s">
        <v>14</v>
      </c>
      <c r="F344" t="s">
        <v>10</v>
      </c>
      <c r="G344" t="s">
        <v>12</v>
      </c>
      <c r="H344" s="3">
        <v>0</v>
      </c>
    </row>
    <row r="345" spans="1:8" ht="20.100000000000001" customHeight="1">
      <c r="A345" t="s">
        <v>357</v>
      </c>
      <c r="B345" s="3">
        <v>48</v>
      </c>
      <c r="C345" s="2">
        <v>4800000</v>
      </c>
      <c r="D345" s="2">
        <v>12100000</v>
      </c>
      <c r="E345" t="s">
        <v>9</v>
      </c>
      <c r="F345" t="s">
        <v>10</v>
      </c>
      <c r="G345" t="s">
        <v>12</v>
      </c>
      <c r="H345" s="3">
        <v>0</v>
      </c>
    </row>
    <row r="346" spans="1:8" ht="20.100000000000001" customHeight="1">
      <c r="A346" t="s">
        <v>358</v>
      </c>
      <c r="B346" s="3">
        <v>27</v>
      </c>
      <c r="C346" s="2">
        <v>8600000</v>
      </c>
      <c r="D346" s="2">
        <v>10900000</v>
      </c>
      <c r="E346" t="s">
        <v>9</v>
      </c>
      <c r="F346" t="s">
        <v>10</v>
      </c>
      <c r="G346" t="s">
        <v>12</v>
      </c>
      <c r="H346" s="3">
        <v>0</v>
      </c>
    </row>
    <row r="347" spans="1:8" ht="20.100000000000001" customHeight="1">
      <c r="A347" t="s">
        <v>359</v>
      </c>
      <c r="B347" s="3">
        <v>37</v>
      </c>
      <c r="C347" s="2">
        <v>5200000</v>
      </c>
      <c r="D347" s="2">
        <v>23600000</v>
      </c>
      <c r="E347" t="s">
        <v>14</v>
      </c>
      <c r="F347" t="s">
        <v>12</v>
      </c>
      <c r="G347" t="s">
        <v>12</v>
      </c>
      <c r="H347" s="3">
        <v>0</v>
      </c>
    </row>
    <row r="348" spans="1:8" ht="20.100000000000001" customHeight="1">
      <c r="A348" t="s">
        <v>360</v>
      </c>
      <c r="B348" s="3">
        <v>40</v>
      </c>
      <c r="C348" s="2">
        <v>7300000</v>
      </c>
      <c r="D348" s="2">
        <v>84800000</v>
      </c>
      <c r="E348" t="s">
        <v>14</v>
      </c>
      <c r="F348" t="s">
        <v>12</v>
      </c>
      <c r="G348" t="s">
        <v>10</v>
      </c>
      <c r="H348" s="3">
        <v>1</v>
      </c>
    </row>
    <row r="349" spans="1:8" ht="20.100000000000001" customHeight="1">
      <c r="A349" t="s">
        <v>361</v>
      </c>
      <c r="B349" s="3">
        <v>49</v>
      </c>
      <c r="C349" s="2">
        <v>6000000</v>
      </c>
      <c r="D349" s="2">
        <v>36900000</v>
      </c>
      <c r="E349" t="s">
        <v>14</v>
      </c>
      <c r="F349" t="s">
        <v>10</v>
      </c>
      <c r="G349" t="s">
        <v>10</v>
      </c>
      <c r="H349" s="3">
        <v>0</v>
      </c>
    </row>
    <row r="350" spans="1:8" ht="20.100000000000001" customHeight="1">
      <c r="A350" t="s">
        <v>362</v>
      </c>
      <c r="B350" s="3">
        <v>47</v>
      </c>
      <c r="C350" s="2">
        <v>8000000</v>
      </c>
      <c r="D350" s="2">
        <v>19600000</v>
      </c>
      <c r="E350" t="s">
        <v>14</v>
      </c>
      <c r="F350" t="s">
        <v>12</v>
      </c>
      <c r="G350" t="s">
        <v>10</v>
      </c>
      <c r="H350" s="3">
        <v>1</v>
      </c>
    </row>
    <row r="351" spans="1:8" ht="20.100000000000001" customHeight="1">
      <c r="A351" t="s">
        <v>363</v>
      </c>
      <c r="B351" s="3">
        <v>50</v>
      </c>
      <c r="C351" s="2">
        <v>6700000</v>
      </c>
      <c r="D351" s="2">
        <v>46400000</v>
      </c>
      <c r="E351" t="s">
        <v>16</v>
      </c>
      <c r="F351" t="s">
        <v>10</v>
      </c>
      <c r="G351" t="s">
        <v>12</v>
      </c>
      <c r="H351" s="3">
        <v>0</v>
      </c>
    </row>
    <row r="352" spans="1:8" ht="20.100000000000001" customHeight="1">
      <c r="A352" t="s">
        <v>364</v>
      </c>
      <c r="B352" s="3">
        <v>53</v>
      </c>
      <c r="C352" s="2">
        <v>2400000</v>
      </c>
      <c r="D352" s="2">
        <v>18000000</v>
      </c>
      <c r="E352" t="s">
        <v>16</v>
      </c>
      <c r="F352" t="s">
        <v>12</v>
      </c>
      <c r="G352" t="s">
        <v>10</v>
      </c>
      <c r="H352" s="3">
        <v>0</v>
      </c>
    </row>
    <row r="353" spans="1:8" ht="20.100000000000001" customHeight="1">
      <c r="A353" t="s">
        <v>365</v>
      </c>
      <c r="B353" s="3">
        <v>46</v>
      </c>
      <c r="C353" s="2">
        <v>6400000</v>
      </c>
      <c r="D353" s="2">
        <v>20500000</v>
      </c>
      <c r="E353" t="s">
        <v>14</v>
      </c>
      <c r="F353" t="s">
        <v>10</v>
      </c>
      <c r="G353" t="s">
        <v>12</v>
      </c>
      <c r="H353" s="3">
        <v>1</v>
      </c>
    </row>
    <row r="354" spans="1:8" ht="20.100000000000001" customHeight="1">
      <c r="A354" t="s">
        <v>366</v>
      </c>
      <c r="B354" s="3">
        <v>36</v>
      </c>
      <c r="C354" s="2">
        <v>19500000</v>
      </c>
      <c r="D354" s="2">
        <v>132800000</v>
      </c>
      <c r="E354" t="s">
        <v>16</v>
      </c>
      <c r="F354" t="s">
        <v>12</v>
      </c>
      <c r="G354" t="s">
        <v>10</v>
      </c>
      <c r="H354" s="3">
        <v>1</v>
      </c>
    </row>
    <row r="355" spans="1:8" ht="20.100000000000001" customHeight="1">
      <c r="A355" t="s">
        <v>367</v>
      </c>
      <c r="B355" s="3">
        <v>21</v>
      </c>
      <c r="C355" s="2">
        <v>3500000</v>
      </c>
      <c r="D355" s="2">
        <v>8300000</v>
      </c>
      <c r="E355" t="s">
        <v>16</v>
      </c>
      <c r="F355" t="s">
        <v>10</v>
      </c>
      <c r="G355" t="s">
        <v>12</v>
      </c>
      <c r="H355" s="3">
        <v>0</v>
      </c>
    </row>
    <row r="356" spans="1:8" ht="20.100000000000001" customHeight="1">
      <c r="A356" t="s">
        <v>368</v>
      </c>
      <c r="B356" s="3">
        <v>34</v>
      </c>
      <c r="C356" s="2">
        <v>8700000</v>
      </c>
      <c r="D356" s="2">
        <v>48900000</v>
      </c>
      <c r="E356" t="s">
        <v>16</v>
      </c>
      <c r="F356" t="s">
        <v>10</v>
      </c>
      <c r="G356" t="s">
        <v>12</v>
      </c>
      <c r="H356" s="3">
        <v>0</v>
      </c>
    </row>
    <row r="357" spans="1:8" ht="20.100000000000001" customHeight="1">
      <c r="A357" t="s">
        <v>369</v>
      </c>
      <c r="B357" s="3">
        <v>46</v>
      </c>
      <c r="C357" s="2">
        <v>7900000</v>
      </c>
      <c r="D357" s="2">
        <v>19000000</v>
      </c>
      <c r="E357" t="s">
        <v>9</v>
      </c>
      <c r="F357" t="s">
        <v>12</v>
      </c>
      <c r="G357" t="s">
        <v>10</v>
      </c>
      <c r="H357" s="3">
        <v>1</v>
      </c>
    </row>
    <row r="358" spans="1:8" ht="20.100000000000001" customHeight="1">
      <c r="A358" t="s">
        <v>370</v>
      </c>
      <c r="B358" s="3">
        <v>21</v>
      </c>
      <c r="C358" s="2">
        <v>5100000</v>
      </c>
      <c r="D358" s="2">
        <v>69300000</v>
      </c>
      <c r="E358" t="s">
        <v>9</v>
      </c>
      <c r="F358" t="s">
        <v>12</v>
      </c>
      <c r="G358" t="s">
        <v>12</v>
      </c>
      <c r="H358" s="3">
        <v>0</v>
      </c>
    </row>
    <row r="359" spans="1:8" ht="20.100000000000001" customHeight="1">
      <c r="A359" t="s">
        <v>371</v>
      </c>
      <c r="B359" s="3">
        <v>39</v>
      </c>
      <c r="C359" s="2">
        <v>4500000</v>
      </c>
      <c r="D359" s="2">
        <v>16200000</v>
      </c>
      <c r="E359" t="s">
        <v>16</v>
      </c>
      <c r="F359" t="s">
        <v>12</v>
      </c>
      <c r="G359" t="s">
        <v>10</v>
      </c>
      <c r="H359" s="3">
        <v>1</v>
      </c>
    </row>
    <row r="360" spans="1:8" ht="20.100000000000001" customHeight="1">
      <c r="A360" t="s">
        <v>372</v>
      </c>
      <c r="B360" s="3">
        <v>56</v>
      </c>
      <c r="C360" s="2">
        <v>2900000</v>
      </c>
      <c r="D360" s="2">
        <v>25100000</v>
      </c>
      <c r="E360" t="s">
        <v>9</v>
      </c>
      <c r="F360" t="s">
        <v>12</v>
      </c>
      <c r="G360" t="s">
        <v>10</v>
      </c>
      <c r="H360" s="3">
        <v>1</v>
      </c>
    </row>
    <row r="361" spans="1:8" ht="20.100000000000001" customHeight="1">
      <c r="A361" t="s">
        <v>373</v>
      </c>
      <c r="B361" s="3">
        <v>52</v>
      </c>
      <c r="C361" s="2">
        <v>5700000</v>
      </c>
      <c r="D361" s="2">
        <v>43200000</v>
      </c>
      <c r="E361" t="s">
        <v>9</v>
      </c>
      <c r="F361" t="s">
        <v>10</v>
      </c>
      <c r="G361" t="s">
        <v>12</v>
      </c>
      <c r="H361" s="3">
        <v>0</v>
      </c>
    </row>
    <row r="362" spans="1:8" ht="20.100000000000001" customHeight="1">
      <c r="A362" t="s">
        <v>374</v>
      </c>
      <c r="B362" s="3">
        <v>45</v>
      </c>
      <c r="C362" s="2">
        <v>7600000</v>
      </c>
      <c r="D362" s="2">
        <v>95600000</v>
      </c>
      <c r="E362" t="s">
        <v>16</v>
      </c>
      <c r="F362" t="s">
        <v>10</v>
      </c>
      <c r="G362" t="s">
        <v>10</v>
      </c>
      <c r="H362" s="3">
        <v>0</v>
      </c>
    </row>
    <row r="363" spans="1:8" ht="20.100000000000001" customHeight="1">
      <c r="A363" t="s">
        <v>375</v>
      </c>
      <c r="B363" s="3">
        <v>31</v>
      </c>
      <c r="C363" s="2">
        <v>4700000</v>
      </c>
      <c r="D363" s="2">
        <v>10900000</v>
      </c>
      <c r="E363" t="s">
        <v>9</v>
      </c>
      <c r="F363" t="s">
        <v>12</v>
      </c>
      <c r="G363" t="s">
        <v>12</v>
      </c>
      <c r="H363" s="3">
        <v>0</v>
      </c>
    </row>
    <row r="364" spans="1:8" ht="20.100000000000001" customHeight="1">
      <c r="A364" t="s">
        <v>376</v>
      </c>
      <c r="B364" s="3">
        <v>32</v>
      </c>
      <c r="C364" s="2">
        <v>6400000</v>
      </c>
      <c r="D364" s="2">
        <v>52100000</v>
      </c>
      <c r="E364" t="s">
        <v>16</v>
      </c>
      <c r="F364" t="s">
        <v>10</v>
      </c>
      <c r="G364" t="s">
        <v>10</v>
      </c>
      <c r="H364" s="3">
        <v>1</v>
      </c>
    </row>
    <row r="365" spans="1:8" ht="20.100000000000001" customHeight="1">
      <c r="A365" t="s">
        <v>377</v>
      </c>
      <c r="B365" s="3">
        <v>21</v>
      </c>
      <c r="C365" s="2">
        <v>5100000</v>
      </c>
      <c r="D365" s="2">
        <v>12100000</v>
      </c>
      <c r="E365" t="s">
        <v>16</v>
      </c>
      <c r="F365" t="s">
        <v>12</v>
      </c>
      <c r="G365" t="s">
        <v>12</v>
      </c>
      <c r="H365" s="3">
        <v>0</v>
      </c>
    </row>
    <row r="366" spans="1:8" ht="20.100000000000001" customHeight="1">
      <c r="A366" t="s">
        <v>378</v>
      </c>
      <c r="B366" s="3">
        <v>44</v>
      </c>
      <c r="C366" s="2">
        <v>6700000</v>
      </c>
      <c r="D366" s="2">
        <v>19900000</v>
      </c>
      <c r="E366" t="s">
        <v>9</v>
      </c>
      <c r="F366" t="s">
        <v>10</v>
      </c>
      <c r="G366" t="s">
        <v>12</v>
      </c>
      <c r="H366" s="3">
        <v>1</v>
      </c>
    </row>
    <row r="367" spans="1:8" ht="20.100000000000001" customHeight="1">
      <c r="A367" t="s">
        <v>379</v>
      </c>
      <c r="B367" s="3">
        <v>30</v>
      </c>
      <c r="C367" s="2">
        <v>6800000</v>
      </c>
      <c r="D367" s="2">
        <v>33100000</v>
      </c>
      <c r="E367" t="s">
        <v>16</v>
      </c>
      <c r="F367" t="s">
        <v>12</v>
      </c>
      <c r="G367" t="s">
        <v>12</v>
      </c>
      <c r="H367" s="3">
        <v>0</v>
      </c>
    </row>
    <row r="368" spans="1:8" ht="20.100000000000001" customHeight="1">
      <c r="A368" t="s">
        <v>380</v>
      </c>
      <c r="B368" s="3">
        <v>42</v>
      </c>
      <c r="C368" s="2">
        <v>10800000</v>
      </c>
      <c r="D368" s="2">
        <v>40100000</v>
      </c>
      <c r="E368" t="s">
        <v>9</v>
      </c>
      <c r="F368" t="s">
        <v>12</v>
      </c>
      <c r="G368" t="s">
        <v>10</v>
      </c>
      <c r="H368" s="3">
        <v>0</v>
      </c>
    </row>
    <row r="369" spans="1:8" ht="20.100000000000001" customHeight="1">
      <c r="A369" t="s">
        <v>381</v>
      </c>
      <c r="B369" s="3">
        <v>45</v>
      </c>
      <c r="C369" s="2">
        <v>6600000</v>
      </c>
      <c r="D369" s="2">
        <v>137700000</v>
      </c>
      <c r="E369" t="s">
        <v>9</v>
      </c>
      <c r="F369" t="s">
        <v>10</v>
      </c>
      <c r="G369" t="s">
        <v>10</v>
      </c>
      <c r="H369" s="3">
        <v>1</v>
      </c>
    </row>
    <row r="370" spans="1:8" ht="20.100000000000001" customHeight="1">
      <c r="A370" t="s">
        <v>382</v>
      </c>
      <c r="B370" s="3">
        <v>43</v>
      </c>
      <c r="C370" s="2">
        <v>3500000</v>
      </c>
      <c r="D370" s="2">
        <v>7500000</v>
      </c>
      <c r="E370" t="s">
        <v>16</v>
      </c>
      <c r="F370" t="s">
        <v>10</v>
      </c>
      <c r="G370" t="s">
        <v>10</v>
      </c>
      <c r="H370" s="3">
        <v>0</v>
      </c>
    </row>
    <row r="371" spans="1:8" ht="20.100000000000001" customHeight="1">
      <c r="A371" t="s">
        <v>383</v>
      </c>
      <c r="B371" s="3">
        <v>52</v>
      </c>
      <c r="C371" s="2">
        <v>6600000</v>
      </c>
      <c r="D371" s="2">
        <v>77900000</v>
      </c>
      <c r="E371" t="s">
        <v>14</v>
      </c>
      <c r="F371" t="s">
        <v>10</v>
      </c>
      <c r="G371" t="s">
        <v>12</v>
      </c>
      <c r="H371" s="3">
        <v>0</v>
      </c>
    </row>
    <row r="372" spans="1:8" ht="20.100000000000001" customHeight="1">
      <c r="A372" t="s">
        <v>384</v>
      </c>
      <c r="B372" s="3">
        <v>55</v>
      </c>
      <c r="C372" s="2">
        <v>3300000</v>
      </c>
      <c r="D372" s="2">
        <v>6400000</v>
      </c>
      <c r="E372" t="s">
        <v>16</v>
      </c>
      <c r="F372" t="s">
        <v>12</v>
      </c>
      <c r="G372" t="s">
        <v>12</v>
      </c>
      <c r="H372" s="3">
        <v>0</v>
      </c>
    </row>
    <row r="373" spans="1:8" ht="20.100000000000001" customHeight="1">
      <c r="A373" t="s">
        <v>385</v>
      </c>
      <c r="B373" s="3">
        <v>51</v>
      </c>
      <c r="C373" s="2">
        <v>11500000</v>
      </c>
      <c r="D373" s="2">
        <v>6000000</v>
      </c>
      <c r="E373" t="s">
        <v>16</v>
      </c>
      <c r="F373" t="s">
        <v>10</v>
      </c>
      <c r="G373" t="s">
        <v>12</v>
      </c>
      <c r="H373" s="3">
        <v>0</v>
      </c>
    </row>
    <row r="374" spans="1:8" ht="20.100000000000001" customHeight="1">
      <c r="A374" t="s">
        <v>386</v>
      </c>
      <c r="B374" s="3">
        <v>36</v>
      </c>
      <c r="C374" s="2">
        <v>5000000</v>
      </c>
      <c r="D374" s="2">
        <v>8500000</v>
      </c>
      <c r="E374" t="s">
        <v>9</v>
      </c>
      <c r="F374" t="s">
        <v>12</v>
      </c>
      <c r="G374" t="s">
        <v>12</v>
      </c>
      <c r="H374" s="3">
        <v>0</v>
      </c>
    </row>
    <row r="375" spans="1:8" ht="20.100000000000001" customHeight="1">
      <c r="A375" t="s">
        <v>387</v>
      </c>
      <c r="B375" s="3">
        <v>35</v>
      </c>
      <c r="C375" s="2">
        <v>6300000</v>
      </c>
      <c r="D375" s="2">
        <v>12600000</v>
      </c>
      <c r="E375" t="s">
        <v>14</v>
      </c>
      <c r="F375" t="s">
        <v>12</v>
      </c>
      <c r="G375" t="s">
        <v>10</v>
      </c>
      <c r="H375" s="3">
        <v>1</v>
      </c>
    </row>
    <row r="376" spans="1:8" ht="20.100000000000001" customHeight="1">
      <c r="A376" t="s">
        <v>388</v>
      </c>
      <c r="B376" s="3">
        <v>25</v>
      </c>
      <c r="C376" s="2">
        <v>5900000</v>
      </c>
      <c r="D376" s="2">
        <v>11200000</v>
      </c>
      <c r="E376" t="s">
        <v>9</v>
      </c>
      <c r="F376" t="s">
        <v>12</v>
      </c>
      <c r="G376" t="s">
        <v>12</v>
      </c>
      <c r="H376" s="3">
        <v>0</v>
      </c>
    </row>
    <row r="377" spans="1:8" ht="20.100000000000001" customHeight="1">
      <c r="A377" t="s">
        <v>389</v>
      </c>
      <c r="B377" s="3">
        <v>41</v>
      </c>
      <c r="C377" s="2">
        <v>4900000</v>
      </c>
      <c r="D377" s="2">
        <v>14300000</v>
      </c>
      <c r="E377" t="s">
        <v>16</v>
      </c>
      <c r="F377" t="s">
        <v>12</v>
      </c>
      <c r="G377" t="s">
        <v>12</v>
      </c>
      <c r="H377" s="3">
        <v>0</v>
      </c>
    </row>
    <row r="378" spans="1:8" ht="20.100000000000001" customHeight="1">
      <c r="A378" t="s">
        <v>390</v>
      </c>
      <c r="B378" s="3">
        <v>24</v>
      </c>
      <c r="C378" s="2">
        <v>5900000</v>
      </c>
      <c r="D378" s="2">
        <v>12300000</v>
      </c>
      <c r="E378" t="s">
        <v>9</v>
      </c>
      <c r="F378" t="s">
        <v>12</v>
      </c>
      <c r="G378" t="s">
        <v>12</v>
      </c>
      <c r="H378" s="3">
        <v>0</v>
      </c>
    </row>
    <row r="379" spans="1:8" ht="20.100000000000001" customHeight="1">
      <c r="A379" t="s">
        <v>391</v>
      </c>
      <c r="B379" s="3">
        <v>32</v>
      </c>
      <c r="C379" s="2">
        <v>7200000</v>
      </c>
      <c r="D379" s="2">
        <v>34100000</v>
      </c>
      <c r="E379" t="s">
        <v>9</v>
      </c>
      <c r="F379" t="s">
        <v>10</v>
      </c>
      <c r="G379" t="s">
        <v>10</v>
      </c>
      <c r="H379" s="3">
        <v>0</v>
      </c>
    </row>
    <row r="380" spans="1:8" ht="20.100000000000001" customHeight="1">
      <c r="A380" t="s">
        <v>392</v>
      </c>
      <c r="B380" s="3">
        <v>39</v>
      </c>
      <c r="C380" s="2">
        <v>4500000</v>
      </c>
      <c r="D380" s="2">
        <v>28600000</v>
      </c>
      <c r="E380" t="s">
        <v>9</v>
      </c>
      <c r="F380" t="s">
        <v>12</v>
      </c>
      <c r="G380" t="s">
        <v>10</v>
      </c>
      <c r="H380" s="3">
        <v>0</v>
      </c>
    </row>
    <row r="381" spans="1:8" ht="20.100000000000001" customHeight="1">
      <c r="A381" t="s">
        <v>393</v>
      </c>
      <c r="B381" s="3">
        <v>50</v>
      </c>
      <c r="C381" s="2">
        <v>2100000</v>
      </c>
      <c r="D381" s="2">
        <v>17900000</v>
      </c>
      <c r="E381" t="s">
        <v>16</v>
      </c>
      <c r="F381" t="s">
        <v>12</v>
      </c>
      <c r="G381" t="s">
        <v>12</v>
      </c>
      <c r="H381" s="3">
        <v>0</v>
      </c>
    </row>
    <row r="382" spans="1:8" ht="20.100000000000001" customHeight="1">
      <c r="A382" t="s">
        <v>394</v>
      </c>
      <c r="B382" s="3">
        <v>34</v>
      </c>
      <c r="C382" s="2">
        <v>4100000</v>
      </c>
      <c r="D382" s="2">
        <v>53200000</v>
      </c>
      <c r="E382" t="s">
        <v>14</v>
      </c>
      <c r="F382" t="s">
        <v>12</v>
      </c>
      <c r="G382" t="s">
        <v>10</v>
      </c>
      <c r="H382" s="3">
        <v>0</v>
      </c>
    </row>
    <row r="383" spans="1:8" ht="20.100000000000001" customHeight="1">
      <c r="A383" t="s">
        <v>395</v>
      </c>
      <c r="B383" s="3">
        <v>38</v>
      </c>
      <c r="C383" s="2">
        <v>5000000</v>
      </c>
      <c r="D383" s="2">
        <v>61400000</v>
      </c>
      <c r="E383" t="s">
        <v>9</v>
      </c>
      <c r="F383" t="s">
        <v>12</v>
      </c>
      <c r="G383" t="s">
        <v>12</v>
      </c>
      <c r="H383" s="3">
        <v>0</v>
      </c>
    </row>
    <row r="384" spans="1:8" ht="20.100000000000001" customHeight="1">
      <c r="A384" t="s">
        <v>396</v>
      </c>
      <c r="B384" s="3">
        <v>34</v>
      </c>
      <c r="C384" s="2">
        <v>7600000</v>
      </c>
      <c r="D384" s="2">
        <v>14000000</v>
      </c>
      <c r="E384" t="s">
        <v>14</v>
      </c>
      <c r="F384" t="s">
        <v>10</v>
      </c>
      <c r="G384" t="s">
        <v>12</v>
      </c>
      <c r="H384" s="3">
        <v>0</v>
      </c>
    </row>
    <row r="385" spans="1:8" ht="20.100000000000001" customHeight="1">
      <c r="A385" t="s">
        <v>397</v>
      </c>
      <c r="B385" s="3">
        <v>31</v>
      </c>
      <c r="C385" s="2">
        <v>5100000</v>
      </c>
      <c r="D385" s="2">
        <v>31700000</v>
      </c>
      <c r="E385" t="s">
        <v>16</v>
      </c>
      <c r="F385" t="s">
        <v>10</v>
      </c>
      <c r="G385" t="s">
        <v>12</v>
      </c>
      <c r="H385" s="3">
        <v>0</v>
      </c>
    </row>
    <row r="386" spans="1:8" ht="20.100000000000001" customHeight="1">
      <c r="A386" t="s">
        <v>398</v>
      </c>
      <c r="B386" s="3">
        <v>43</v>
      </c>
      <c r="C386" s="2">
        <v>3900000</v>
      </c>
      <c r="D386" s="2">
        <v>17300000</v>
      </c>
      <c r="E386" t="s">
        <v>9</v>
      </c>
      <c r="F386" t="s">
        <v>12</v>
      </c>
      <c r="G386" t="s">
        <v>12</v>
      </c>
      <c r="H386" s="3">
        <v>0</v>
      </c>
    </row>
    <row r="387" spans="1:8" ht="20.100000000000001" customHeight="1">
      <c r="A387" t="s">
        <v>399</v>
      </c>
      <c r="B387" s="3">
        <v>29</v>
      </c>
      <c r="C387" s="2">
        <v>5300000</v>
      </c>
      <c r="D387" s="2">
        <v>14300000</v>
      </c>
      <c r="E387" t="s">
        <v>14</v>
      </c>
      <c r="F387" t="s">
        <v>12</v>
      </c>
      <c r="G387" t="s">
        <v>10</v>
      </c>
      <c r="H387" s="3">
        <v>0</v>
      </c>
    </row>
    <row r="388" spans="1:8" ht="20.100000000000001" customHeight="1">
      <c r="A388" t="s">
        <v>400</v>
      </c>
      <c r="B388" s="3">
        <v>34</v>
      </c>
      <c r="C388" s="2">
        <v>8100000</v>
      </c>
      <c r="D388" s="2">
        <v>53100000</v>
      </c>
      <c r="E388" t="s">
        <v>9</v>
      </c>
      <c r="F388" t="s">
        <v>10</v>
      </c>
      <c r="G388" t="s">
        <v>10</v>
      </c>
      <c r="H388" s="3">
        <v>0</v>
      </c>
    </row>
    <row r="389" spans="1:8" ht="20.100000000000001" customHeight="1">
      <c r="A389" t="s">
        <v>401</v>
      </c>
      <c r="B389" s="3">
        <v>27</v>
      </c>
      <c r="C389" s="2">
        <v>3500000</v>
      </c>
      <c r="D389" s="2">
        <v>6900000</v>
      </c>
      <c r="E389" t="s">
        <v>16</v>
      </c>
      <c r="F389" t="s">
        <v>10</v>
      </c>
      <c r="G389" t="s">
        <v>10</v>
      </c>
      <c r="H389" s="3">
        <v>0</v>
      </c>
    </row>
    <row r="390" spans="1:8" ht="20.100000000000001" customHeight="1">
      <c r="A390" t="s">
        <v>402</v>
      </c>
      <c r="B390" s="3">
        <v>56</v>
      </c>
      <c r="C390" s="2">
        <v>5600000</v>
      </c>
      <c r="D390" s="2">
        <v>25500000</v>
      </c>
      <c r="E390" t="s">
        <v>16</v>
      </c>
      <c r="F390" t="s">
        <v>12</v>
      </c>
      <c r="G390" t="s">
        <v>12</v>
      </c>
      <c r="H390" s="3">
        <v>1</v>
      </c>
    </row>
    <row r="391" spans="1:8" ht="20.100000000000001" customHeight="1">
      <c r="A391" t="s">
        <v>403</v>
      </c>
      <c r="B391" s="3">
        <v>29</v>
      </c>
      <c r="C391" s="2">
        <v>6100000</v>
      </c>
      <c r="D391" s="2">
        <v>83600000</v>
      </c>
      <c r="E391" t="s">
        <v>9</v>
      </c>
      <c r="F391" t="s">
        <v>10</v>
      </c>
      <c r="G391" t="s">
        <v>12</v>
      </c>
      <c r="H391" s="3">
        <v>1</v>
      </c>
    </row>
    <row r="392" spans="1:8" ht="20.100000000000001" customHeight="1">
      <c r="A392" t="s">
        <v>404</v>
      </c>
      <c r="B392" s="3">
        <v>51</v>
      </c>
      <c r="C392" s="2">
        <v>5300000</v>
      </c>
      <c r="D392" s="2">
        <v>38200000</v>
      </c>
      <c r="E392" t="s">
        <v>9</v>
      </c>
      <c r="F392" t="s">
        <v>12</v>
      </c>
      <c r="G392" t="s">
        <v>12</v>
      </c>
      <c r="H392" s="3">
        <v>0</v>
      </c>
    </row>
    <row r="393" spans="1:8" ht="20.100000000000001" customHeight="1">
      <c r="A393" t="s">
        <v>405</v>
      </c>
      <c r="B393" s="3">
        <v>34</v>
      </c>
      <c r="C393" s="2">
        <v>6600000</v>
      </c>
      <c r="D393" s="2">
        <v>88200000</v>
      </c>
      <c r="E393" t="s">
        <v>9</v>
      </c>
      <c r="F393" t="s">
        <v>12</v>
      </c>
      <c r="G393" t="s">
        <v>12</v>
      </c>
      <c r="H393" s="3">
        <v>0</v>
      </c>
    </row>
    <row r="394" spans="1:8" ht="20.100000000000001" customHeight="1">
      <c r="A394" t="s">
        <v>406</v>
      </c>
      <c r="B394" s="3">
        <v>21</v>
      </c>
      <c r="C394" s="2">
        <v>6800000</v>
      </c>
      <c r="D394" s="2">
        <v>155000000</v>
      </c>
      <c r="E394" t="s">
        <v>14</v>
      </c>
      <c r="F394" t="s">
        <v>10</v>
      </c>
      <c r="G394" t="s">
        <v>10</v>
      </c>
      <c r="H394" s="3">
        <v>1</v>
      </c>
    </row>
    <row r="395" spans="1:8" ht="20.100000000000001" customHeight="1">
      <c r="A395" t="s">
        <v>407</v>
      </c>
      <c r="B395" s="3">
        <v>52</v>
      </c>
      <c r="C395" s="2">
        <v>7200000</v>
      </c>
      <c r="D395" s="2">
        <v>58400000</v>
      </c>
      <c r="E395" t="s">
        <v>9</v>
      </c>
      <c r="F395" t="s">
        <v>10</v>
      </c>
      <c r="G395" t="s">
        <v>12</v>
      </c>
      <c r="H395" s="3">
        <v>0</v>
      </c>
    </row>
    <row r="396" spans="1:8" ht="20.100000000000001" customHeight="1">
      <c r="A396" t="s">
        <v>408</v>
      </c>
      <c r="B396" s="3">
        <v>35</v>
      </c>
      <c r="C396" s="2">
        <v>5100000</v>
      </c>
      <c r="D396" s="2">
        <v>41100000</v>
      </c>
      <c r="E396" t="s">
        <v>9</v>
      </c>
      <c r="F396" t="s">
        <v>10</v>
      </c>
      <c r="G396" t="s">
        <v>10</v>
      </c>
      <c r="H396" s="3">
        <v>1</v>
      </c>
    </row>
    <row r="397" spans="1:8" ht="20.100000000000001" customHeight="1">
      <c r="A397" t="s">
        <v>409</v>
      </c>
      <c r="B397" s="3">
        <v>66</v>
      </c>
      <c r="C397" s="2">
        <v>4000000</v>
      </c>
      <c r="D397" s="2">
        <v>4500000</v>
      </c>
      <c r="E397" t="s">
        <v>31</v>
      </c>
      <c r="F397" t="s">
        <v>12</v>
      </c>
      <c r="G397" t="s">
        <v>10</v>
      </c>
      <c r="H397" s="3">
        <v>1</v>
      </c>
    </row>
    <row r="398" spans="1:8" ht="20.100000000000001" customHeight="1">
      <c r="A398" t="s">
        <v>410</v>
      </c>
      <c r="B398" s="3">
        <v>55</v>
      </c>
      <c r="C398" s="2">
        <v>5900000</v>
      </c>
      <c r="D398" s="2">
        <v>60100000</v>
      </c>
      <c r="E398" t="s">
        <v>31</v>
      </c>
      <c r="F398" t="s">
        <v>12</v>
      </c>
      <c r="G398" t="s">
        <v>12</v>
      </c>
      <c r="H398" s="3">
        <v>1</v>
      </c>
    </row>
    <row r="399" spans="1:8" ht="20.100000000000001" customHeight="1">
      <c r="A399" t="s">
        <v>411</v>
      </c>
      <c r="B399" s="3">
        <v>55</v>
      </c>
      <c r="C399" s="2">
        <v>15300000</v>
      </c>
      <c r="D399" s="2">
        <v>62000000</v>
      </c>
      <c r="E399" t="s">
        <v>16</v>
      </c>
      <c r="F399" t="s">
        <v>12</v>
      </c>
      <c r="G399" t="s">
        <v>10</v>
      </c>
      <c r="H399" s="3">
        <v>1</v>
      </c>
    </row>
    <row r="400" spans="1:8" ht="20.100000000000001" customHeight="1">
      <c r="A400" t="s">
        <v>412</v>
      </c>
      <c r="B400" s="3">
        <v>39</v>
      </c>
      <c r="C400" s="2">
        <v>4200000</v>
      </c>
      <c r="D400" s="2">
        <v>16700000</v>
      </c>
      <c r="E400" t="s">
        <v>16</v>
      </c>
      <c r="F400" t="s">
        <v>10</v>
      </c>
      <c r="G400" t="s">
        <v>10</v>
      </c>
      <c r="H400" s="3">
        <v>0</v>
      </c>
    </row>
    <row r="401" spans="1:8" ht="20.100000000000001" customHeight="1">
      <c r="A401" t="s">
        <v>413</v>
      </c>
      <c r="B401" s="3">
        <v>49</v>
      </c>
      <c r="C401" s="2">
        <v>6700000</v>
      </c>
      <c r="D401" s="2">
        <v>24500000</v>
      </c>
      <c r="E401" t="s">
        <v>9</v>
      </c>
      <c r="F401" t="s">
        <v>10</v>
      </c>
      <c r="G401" t="s">
        <v>10</v>
      </c>
      <c r="H401" s="3">
        <v>0</v>
      </c>
    </row>
    <row r="402" spans="1:8" ht="20.100000000000001" customHeight="1">
      <c r="A402" t="s">
        <v>414</v>
      </c>
      <c r="B402" s="3">
        <v>56</v>
      </c>
      <c r="C402" s="2">
        <v>6600000</v>
      </c>
      <c r="D402" s="2">
        <v>101400000</v>
      </c>
      <c r="E402" t="s">
        <v>14</v>
      </c>
      <c r="F402" t="s">
        <v>10</v>
      </c>
      <c r="G402" t="s">
        <v>10</v>
      </c>
      <c r="H402" s="3">
        <v>1</v>
      </c>
    </row>
    <row r="403" spans="1:8" ht="20.100000000000001" customHeight="1">
      <c r="A403" t="s">
        <v>415</v>
      </c>
      <c r="B403" s="3">
        <v>39</v>
      </c>
      <c r="C403" s="2">
        <v>12100000</v>
      </c>
      <c r="D403" s="2">
        <v>40500000</v>
      </c>
      <c r="E403" t="s">
        <v>9</v>
      </c>
      <c r="F403" t="s">
        <v>12</v>
      </c>
      <c r="G403" t="s">
        <v>10</v>
      </c>
      <c r="H403" s="3">
        <v>1</v>
      </c>
    </row>
    <row r="404" spans="1:8" ht="20.100000000000001" customHeight="1">
      <c r="A404" t="s">
        <v>416</v>
      </c>
      <c r="B404" s="3">
        <v>34</v>
      </c>
      <c r="C404" s="2">
        <v>5800000</v>
      </c>
      <c r="D404" s="2">
        <v>20500000</v>
      </c>
      <c r="E404" t="s">
        <v>16</v>
      </c>
      <c r="F404" t="s">
        <v>12</v>
      </c>
      <c r="G404" t="s">
        <v>12</v>
      </c>
      <c r="H404" s="3">
        <v>1</v>
      </c>
    </row>
    <row r="405" spans="1:8" ht="20.100000000000001" customHeight="1">
      <c r="A405" t="s">
        <v>417</v>
      </c>
      <c r="B405" s="3">
        <v>65</v>
      </c>
      <c r="C405" s="2">
        <v>4700000</v>
      </c>
      <c r="D405" s="2">
        <v>96000000</v>
      </c>
      <c r="E405" t="s">
        <v>31</v>
      </c>
      <c r="F405" t="s">
        <v>12</v>
      </c>
      <c r="G405" t="s">
        <v>10</v>
      </c>
      <c r="H405" s="3">
        <v>1</v>
      </c>
    </row>
    <row r="406" spans="1:8" ht="20.100000000000001" customHeight="1">
      <c r="A406" t="s">
        <v>418</v>
      </c>
      <c r="B406" s="3">
        <v>42</v>
      </c>
      <c r="C406" s="2">
        <v>5600000</v>
      </c>
      <c r="D406" s="2">
        <v>15400000</v>
      </c>
      <c r="E406" t="s">
        <v>14</v>
      </c>
      <c r="F406" t="s">
        <v>12</v>
      </c>
      <c r="G406" t="s">
        <v>12</v>
      </c>
      <c r="H406" s="3">
        <v>0</v>
      </c>
    </row>
    <row r="407" spans="1:8" ht="20.100000000000001" customHeight="1">
      <c r="A407" t="s">
        <v>419</v>
      </c>
      <c r="B407" s="3">
        <v>41</v>
      </c>
      <c r="C407" s="2">
        <v>4700000</v>
      </c>
      <c r="D407" s="2">
        <v>51800000</v>
      </c>
      <c r="E407" t="s">
        <v>9</v>
      </c>
      <c r="F407" t="s">
        <v>10</v>
      </c>
      <c r="G407" t="s">
        <v>12</v>
      </c>
      <c r="H407" s="3">
        <v>0</v>
      </c>
    </row>
    <row r="408" spans="1:8" ht="20.100000000000001" customHeight="1">
      <c r="A408" t="s">
        <v>420</v>
      </c>
      <c r="B408" s="3">
        <v>36</v>
      </c>
      <c r="C408" s="2">
        <v>4800000</v>
      </c>
      <c r="D408" s="2">
        <v>2900000</v>
      </c>
      <c r="E408" t="s">
        <v>9</v>
      </c>
      <c r="F408" t="s">
        <v>12</v>
      </c>
      <c r="G408" t="s">
        <v>12</v>
      </c>
      <c r="H408" s="3">
        <v>0</v>
      </c>
    </row>
    <row r="409" spans="1:8" ht="20.100000000000001" customHeight="1">
      <c r="A409" t="s">
        <v>421</v>
      </c>
      <c r="B409" s="3">
        <v>43</v>
      </c>
      <c r="C409" s="2">
        <v>5900000</v>
      </c>
      <c r="D409" s="2">
        <v>68600000</v>
      </c>
      <c r="E409" t="s">
        <v>16</v>
      </c>
      <c r="F409" t="s">
        <v>12</v>
      </c>
      <c r="G409" t="s">
        <v>12</v>
      </c>
      <c r="H409" s="3">
        <v>0</v>
      </c>
    </row>
    <row r="410" spans="1:8" ht="20.100000000000001" customHeight="1">
      <c r="A410" t="s">
        <v>422</v>
      </c>
      <c r="B410" s="3">
        <v>27</v>
      </c>
      <c r="C410" s="2">
        <v>5600000</v>
      </c>
      <c r="D410" s="2">
        <v>17300000</v>
      </c>
      <c r="E410" t="s">
        <v>14</v>
      </c>
      <c r="F410" t="s">
        <v>10</v>
      </c>
      <c r="G410" t="s">
        <v>10</v>
      </c>
      <c r="H410" s="3">
        <v>0</v>
      </c>
    </row>
    <row r="411" spans="1:8" ht="20.100000000000001" customHeight="1">
      <c r="A411" t="s">
        <v>423</v>
      </c>
      <c r="B411" s="3">
        <v>37</v>
      </c>
      <c r="C411" s="2">
        <v>5100000</v>
      </c>
      <c r="D411" s="2">
        <v>18400000</v>
      </c>
      <c r="E411" t="s">
        <v>14</v>
      </c>
      <c r="F411" t="s">
        <v>10</v>
      </c>
      <c r="G411" t="s">
        <v>12</v>
      </c>
      <c r="H411" s="3">
        <v>0</v>
      </c>
    </row>
    <row r="412" spans="1:8" ht="20.100000000000001" customHeight="1">
      <c r="A412" t="s">
        <v>424</v>
      </c>
      <c r="B412" s="3">
        <v>46</v>
      </c>
      <c r="C412" s="2">
        <v>9600000</v>
      </c>
      <c r="D412" s="2">
        <v>24300000</v>
      </c>
      <c r="E412" t="s">
        <v>16</v>
      </c>
      <c r="F412" t="s">
        <v>12</v>
      </c>
      <c r="G412" t="s">
        <v>10</v>
      </c>
      <c r="H412" s="3">
        <v>1</v>
      </c>
    </row>
    <row r="413" spans="1:8" ht="20.100000000000001" customHeight="1">
      <c r="A413" t="s">
        <v>425</v>
      </c>
      <c r="B413" s="3">
        <v>21</v>
      </c>
      <c r="C413" s="2">
        <v>12700000</v>
      </c>
      <c r="D413" s="2">
        <v>33800000</v>
      </c>
      <c r="E413" t="s">
        <v>9</v>
      </c>
      <c r="F413" t="s">
        <v>10</v>
      </c>
      <c r="G413" t="s">
        <v>10</v>
      </c>
      <c r="H413" s="3">
        <v>0</v>
      </c>
    </row>
    <row r="414" spans="1:8" ht="20.100000000000001" customHeight="1">
      <c r="A414" t="s">
        <v>426</v>
      </c>
      <c r="B414" s="3">
        <v>39</v>
      </c>
      <c r="C414" s="2">
        <v>5700000</v>
      </c>
      <c r="D414" s="2">
        <v>98600000</v>
      </c>
      <c r="E414" t="s">
        <v>9</v>
      </c>
      <c r="F414" t="s">
        <v>12</v>
      </c>
      <c r="G414" t="s">
        <v>12</v>
      </c>
      <c r="H414" s="3">
        <v>0</v>
      </c>
    </row>
    <row r="415" spans="1:8" ht="20.100000000000001" customHeight="1">
      <c r="A415" t="s">
        <v>427</v>
      </c>
      <c r="B415" s="3">
        <v>21</v>
      </c>
      <c r="C415" s="2">
        <v>7000000</v>
      </c>
      <c r="D415" s="2">
        <v>19700000</v>
      </c>
      <c r="E415" t="s">
        <v>14</v>
      </c>
      <c r="F415" t="s">
        <v>12</v>
      </c>
      <c r="G415" t="s">
        <v>12</v>
      </c>
      <c r="H415" s="3">
        <v>1</v>
      </c>
    </row>
    <row r="416" spans="1:8" ht="20.100000000000001" customHeight="1">
      <c r="A416" t="s">
        <v>428</v>
      </c>
      <c r="B416" s="3">
        <v>41</v>
      </c>
      <c r="C416" s="2">
        <v>6100000</v>
      </c>
      <c r="D416" s="2">
        <v>8600000</v>
      </c>
      <c r="E416" t="s">
        <v>9</v>
      </c>
      <c r="F416" t="s">
        <v>12</v>
      </c>
      <c r="G416" t="s">
        <v>10</v>
      </c>
      <c r="H416" s="3">
        <v>0</v>
      </c>
    </row>
    <row r="417" spans="1:8" ht="20.100000000000001" customHeight="1">
      <c r="A417" t="s">
        <v>429</v>
      </c>
      <c r="B417" s="3">
        <v>37</v>
      </c>
      <c r="C417" s="2">
        <v>4800000</v>
      </c>
      <c r="D417" s="2">
        <v>43000000</v>
      </c>
      <c r="E417" t="s">
        <v>9</v>
      </c>
      <c r="F417" t="s">
        <v>12</v>
      </c>
      <c r="G417" t="s">
        <v>10</v>
      </c>
      <c r="H417" s="3">
        <v>1</v>
      </c>
    </row>
    <row r="418" spans="1:8" ht="20.100000000000001" customHeight="1">
      <c r="A418" t="s">
        <v>430</v>
      </c>
      <c r="B418" s="3">
        <v>55</v>
      </c>
      <c r="C418" s="2">
        <v>5300000</v>
      </c>
      <c r="D418" s="2">
        <v>47400000</v>
      </c>
      <c r="E418" t="s">
        <v>9</v>
      </c>
      <c r="F418" t="s">
        <v>10</v>
      </c>
      <c r="G418" t="s">
        <v>12</v>
      </c>
      <c r="H418" s="3">
        <v>1</v>
      </c>
    </row>
    <row r="419" spans="1:8" ht="20.100000000000001" customHeight="1">
      <c r="A419" t="s">
        <v>431</v>
      </c>
      <c r="B419" s="3">
        <v>25</v>
      </c>
      <c r="C419" s="2">
        <v>5200000</v>
      </c>
      <c r="D419" s="2">
        <v>7200000</v>
      </c>
      <c r="E419" t="s">
        <v>9</v>
      </c>
      <c r="F419" t="s">
        <v>12</v>
      </c>
      <c r="G419" t="s">
        <v>12</v>
      </c>
      <c r="H419" s="3">
        <v>0</v>
      </c>
    </row>
    <row r="420" spans="1:8" ht="20.100000000000001" customHeight="1">
      <c r="A420" t="s">
        <v>432</v>
      </c>
      <c r="B420" s="3">
        <v>35</v>
      </c>
      <c r="C420" s="2">
        <v>6600000</v>
      </c>
      <c r="D420" s="2">
        <v>26800000</v>
      </c>
      <c r="E420" t="s">
        <v>9</v>
      </c>
      <c r="F420" t="s">
        <v>10</v>
      </c>
      <c r="G420" t="s">
        <v>12</v>
      </c>
      <c r="H420" s="3">
        <v>0</v>
      </c>
    </row>
    <row r="421" spans="1:8" ht="20.100000000000001" customHeight="1">
      <c r="A421" t="s">
        <v>433</v>
      </c>
      <c r="B421" s="3">
        <v>26</v>
      </c>
      <c r="C421" s="2">
        <v>3300000</v>
      </c>
      <c r="D421" s="2">
        <v>3900000</v>
      </c>
      <c r="E421" t="s">
        <v>9</v>
      </c>
      <c r="F421" t="s">
        <v>12</v>
      </c>
      <c r="G421" t="s">
        <v>10</v>
      </c>
      <c r="H421" s="3">
        <v>0</v>
      </c>
    </row>
    <row r="422" spans="1:8" ht="20.100000000000001" customHeight="1">
      <c r="A422" t="s">
        <v>434</v>
      </c>
      <c r="B422" s="3">
        <v>43</v>
      </c>
      <c r="C422" s="2">
        <v>5800000</v>
      </c>
      <c r="D422" s="2">
        <v>35500000</v>
      </c>
      <c r="E422" t="s">
        <v>16</v>
      </c>
      <c r="F422" t="s">
        <v>12</v>
      </c>
      <c r="G422" t="s">
        <v>12</v>
      </c>
      <c r="H422" s="3">
        <v>1</v>
      </c>
    </row>
    <row r="423" spans="1:8" ht="20.100000000000001" customHeight="1">
      <c r="A423" t="s">
        <v>435</v>
      </c>
      <c r="B423" s="3">
        <v>36</v>
      </c>
      <c r="C423" s="2">
        <v>6100000</v>
      </c>
      <c r="D423" s="2">
        <v>10900000</v>
      </c>
      <c r="E423" t="s">
        <v>16</v>
      </c>
      <c r="F423" t="s">
        <v>12</v>
      </c>
      <c r="G423" t="s">
        <v>12</v>
      </c>
      <c r="H423" s="3">
        <v>0</v>
      </c>
    </row>
    <row r="424" spans="1:8" ht="20.100000000000001" customHeight="1">
      <c r="A424" t="s">
        <v>436</v>
      </c>
      <c r="B424" s="3">
        <v>43</v>
      </c>
      <c r="C424" s="2">
        <v>4100000</v>
      </c>
      <c r="D424" s="2">
        <v>11900000</v>
      </c>
      <c r="E424" t="s">
        <v>16</v>
      </c>
      <c r="F424" t="s">
        <v>12</v>
      </c>
      <c r="G424" t="s">
        <v>12</v>
      </c>
      <c r="H424" s="3">
        <v>0</v>
      </c>
    </row>
    <row r="425" spans="1:8" ht="20.100000000000001" customHeight="1">
      <c r="A425" t="s">
        <v>437</v>
      </c>
      <c r="B425" s="3">
        <v>24</v>
      </c>
      <c r="C425" s="2">
        <v>7500000</v>
      </c>
      <c r="D425" s="2">
        <v>10700000</v>
      </c>
      <c r="E425" t="s">
        <v>9</v>
      </c>
      <c r="F425" t="s">
        <v>10</v>
      </c>
      <c r="G425" t="s">
        <v>12</v>
      </c>
      <c r="H425" s="3">
        <v>1</v>
      </c>
    </row>
    <row r="426" spans="1:8" ht="20.100000000000001" customHeight="1">
      <c r="A426" t="s">
        <v>438</v>
      </c>
      <c r="B426" s="3">
        <v>49</v>
      </c>
      <c r="C426" s="2">
        <v>5100000</v>
      </c>
      <c r="D426" s="2">
        <v>13000000</v>
      </c>
      <c r="E426" t="s">
        <v>9</v>
      </c>
      <c r="F426" t="s">
        <v>12</v>
      </c>
      <c r="G426" t="s">
        <v>12</v>
      </c>
      <c r="H426" s="3">
        <v>0</v>
      </c>
    </row>
    <row r="427" spans="1:8" ht="20.100000000000001" customHeight="1">
      <c r="A427" t="s">
        <v>439</v>
      </c>
      <c r="B427" s="3">
        <v>48</v>
      </c>
      <c r="C427" s="2">
        <v>8900000</v>
      </c>
      <c r="D427" s="2">
        <v>95600000</v>
      </c>
      <c r="E427" t="s">
        <v>16</v>
      </c>
      <c r="F427" t="s">
        <v>12</v>
      </c>
      <c r="G427" t="s">
        <v>10</v>
      </c>
      <c r="H427" s="3">
        <v>1</v>
      </c>
    </row>
    <row r="428" spans="1:8" ht="20.100000000000001" customHeight="1">
      <c r="A428" t="s">
        <v>440</v>
      </c>
      <c r="B428" s="3">
        <v>21</v>
      </c>
      <c r="C428" s="2">
        <v>3700000</v>
      </c>
      <c r="D428" s="2">
        <v>12200000</v>
      </c>
      <c r="E428" t="s">
        <v>9</v>
      </c>
      <c r="F428" t="s">
        <v>10</v>
      </c>
      <c r="G428" t="s">
        <v>10</v>
      </c>
      <c r="H428" s="3">
        <v>0</v>
      </c>
    </row>
    <row r="429" spans="1:8" ht="20.100000000000001" customHeight="1">
      <c r="A429" t="s">
        <v>441</v>
      </c>
      <c r="B429" s="3">
        <v>36</v>
      </c>
      <c r="C429" s="2">
        <v>4500000</v>
      </c>
      <c r="D429" s="2">
        <v>68500000</v>
      </c>
      <c r="E429" t="s">
        <v>9</v>
      </c>
      <c r="F429" t="s">
        <v>12</v>
      </c>
      <c r="G429" t="s">
        <v>12</v>
      </c>
      <c r="H429" s="3">
        <v>0</v>
      </c>
    </row>
    <row r="430" spans="1:8" ht="20.100000000000001" customHeight="1">
      <c r="A430" t="s">
        <v>442</v>
      </c>
      <c r="B430" s="3">
        <v>28</v>
      </c>
      <c r="C430" s="2">
        <v>7800000</v>
      </c>
      <c r="D430" s="2">
        <v>32500000</v>
      </c>
      <c r="E430" t="s">
        <v>14</v>
      </c>
      <c r="F430" t="s">
        <v>10</v>
      </c>
      <c r="G430" t="s">
        <v>12</v>
      </c>
      <c r="H430" s="3">
        <v>0</v>
      </c>
    </row>
    <row r="431" spans="1:8" ht="20.100000000000001" customHeight="1">
      <c r="A431" t="s">
        <v>443</v>
      </c>
      <c r="B431" s="3">
        <v>50</v>
      </c>
      <c r="C431" s="2">
        <v>6200000</v>
      </c>
      <c r="D431" s="2">
        <v>18400000</v>
      </c>
      <c r="E431" t="s">
        <v>16</v>
      </c>
      <c r="F431" t="s">
        <v>12</v>
      </c>
      <c r="G431" t="s">
        <v>10</v>
      </c>
      <c r="H431" s="3">
        <v>1</v>
      </c>
    </row>
    <row r="432" spans="1:8" ht="20.100000000000001" customHeight="1">
      <c r="A432" t="s">
        <v>444</v>
      </c>
      <c r="B432" s="3">
        <v>51</v>
      </c>
      <c r="C432" s="2">
        <v>7300000</v>
      </c>
      <c r="D432" s="2">
        <v>27800000</v>
      </c>
      <c r="E432" t="s">
        <v>9</v>
      </c>
      <c r="F432" t="s">
        <v>10</v>
      </c>
      <c r="G432" t="s">
        <v>12</v>
      </c>
      <c r="H432" s="3">
        <v>0</v>
      </c>
    </row>
    <row r="433" spans="1:8" ht="20.100000000000001" customHeight="1">
      <c r="A433" t="s">
        <v>445</v>
      </c>
      <c r="B433" s="3">
        <v>62</v>
      </c>
      <c r="C433" s="2">
        <v>2900000</v>
      </c>
      <c r="D433" s="2">
        <v>8900000</v>
      </c>
      <c r="E433" t="s">
        <v>31</v>
      </c>
      <c r="F433" t="s">
        <v>10</v>
      </c>
      <c r="G433" t="s">
        <v>12</v>
      </c>
      <c r="H433" s="3">
        <v>0</v>
      </c>
    </row>
    <row r="434" spans="1:8" ht="20.100000000000001" customHeight="1">
      <c r="A434" t="s">
        <v>446</v>
      </c>
      <c r="B434" s="3">
        <v>43</v>
      </c>
      <c r="C434" s="2">
        <v>4400000</v>
      </c>
      <c r="D434" s="2">
        <v>22100000</v>
      </c>
      <c r="E434" t="s">
        <v>16</v>
      </c>
      <c r="F434" t="s">
        <v>12</v>
      </c>
      <c r="G434" t="s">
        <v>12</v>
      </c>
      <c r="H434" s="3">
        <v>0</v>
      </c>
    </row>
    <row r="435" spans="1:8" ht="20.100000000000001" customHeight="1">
      <c r="A435" t="s">
        <v>447</v>
      </c>
      <c r="B435" s="3">
        <v>29</v>
      </c>
      <c r="C435" s="2">
        <v>3500000</v>
      </c>
      <c r="D435" s="2">
        <v>7800000</v>
      </c>
      <c r="E435" t="s">
        <v>9</v>
      </c>
      <c r="F435" t="s">
        <v>12</v>
      </c>
      <c r="G435" t="s">
        <v>12</v>
      </c>
      <c r="H435" s="3">
        <v>0</v>
      </c>
    </row>
    <row r="436" spans="1:8" ht="20.100000000000001" customHeight="1">
      <c r="A436" t="s">
        <v>448</v>
      </c>
      <c r="B436" s="3">
        <v>42</v>
      </c>
      <c r="C436" s="2">
        <v>8900000</v>
      </c>
      <c r="D436" s="2">
        <v>41300000</v>
      </c>
      <c r="E436" t="s">
        <v>9</v>
      </c>
      <c r="F436" t="s">
        <v>12</v>
      </c>
      <c r="G436" t="s">
        <v>12</v>
      </c>
      <c r="H436" s="3">
        <v>1</v>
      </c>
    </row>
    <row r="437" spans="1:8" ht="20.100000000000001" customHeight="1">
      <c r="A437" t="s">
        <v>449</v>
      </c>
      <c r="B437" s="3">
        <v>42</v>
      </c>
      <c r="C437" s="2">
        <v>4200000</v>
      </c>
      <c r="D437" s="2">
        <v>7200000</v>
      </c>
      <c r="E437" t="s">
        <v>14</v>
      </c>
      <c r="F437" t="s">
        <v>10</v>
      </c>
      <c r="G437" t="s">
        <v>12</v>
      </c>
      <c r="H437" s="3">
        <v>0</v>
      </c>
    </row>
    <row r="438" spans="1:8" ht="20.100000000000001" customHeight="1">
      <c r="A438" t="s">
        <v>450</v>
      </c>
      <c r="B438" s="3">
        <v>35</v>
      </c>
      <c r="C438" s="2">
        <v>4400000</v>
      </c>
      <c r="D438" s="2">
        <v>8000000</v>
      </c>
      <c r="E438" t="s">
        <v>14</v>
      </c>
      <c r="F438" t="s">
        <v>12</v>
      </c>
      <c r="G438" t="s">
        <v>12</v>
      </c>
      <c r="H438" s="3">
        <v>0</v>
      </c>
    </row>
    <row r="439" spans="1:8" ht="20.100000000000001" customHeight="1">
      <c r="A439" t="s">
        <v>451</v>
      </c>
      <c r="B439" s="3">
        <v>21</v>
      </c>
      <c r="C439" s="2">
        <v>5000000</v>
      </c>
      <c r="D439" s="2">
        <v>14800000</v>
      </c>
      <c r="E439" t="s">
        <v>9</v>
      </c>
      <c r="F439" t="s">
        <v>12</v>
      </c>
      <c r="G439" t="s">
        <v>10</v>
      </c>
      <c r="H439" s="3">
        <v>0</v>
      </c>
    </row>
    <row r="440" spans="1:8" ht="20.100000000000001" customHeight="1">
      <c r="A440" t="s">
        <v>452</v>
      </c>
      <c r="B440" s="3">
        <v>26</v>
      </c>
      <c r="C440" s="2">
        <v>8900000</v>
      </c>
      <c r="D440" s="2">
        <v>2800000</v>
      </c>
      <c r="E440" t="s">
        <v>9</v>
      </c>
      <c r="F440" t="s">
        <v>10</v>
      </c>
      <c r="G440" t="s">
        <v>12</v>
      </c>
      <c r="H440" s="3">
        <v>1</v>
      </c>
    </row>
    <row r="441" spans="1:8" ht="20.100000000000001" customHeight="1">
      <c r="A441" t="s">
        <v>453</v>
      </c>
      <c r="B441" s="3">
        <v>42</v>
      </c>
      <c r="C441" s="2">
        <v>3800000</v>
      </c>
      <c r="D441" s="2">
        <v>26700000</v>
      </c>
      <c r="E441" t="s">
        <v>9</v>
      </c>
      <c r="F441" t="s">
        <v>12</v>
      </c>
      <c r="G441" t="s">
        <v>12</v>
      </c>
      <c r="H441" s="3">
        <v>1</v>
      </c>
    </row>
    <row r="442" spans="1:8" ht="20.100000000000001" customHeight="1">
      <c r="A442" t="s">
        <v>454</v>
      </c>
      <c r="B442" s="3">
        <v>39</v>
      </c>
      <c r="C442" s="2">
        <v>5100000</v>
      </c>
      <c r="D442" s="2">
        <v>10200000</v>
      </c>
      <c r="E442" t="s">
        <v>14</v>
      </c>
      <c r="F442" t="s">
        <v>10</v>
      </c>
      <c r="G442" t="s">
        <v>12</v>
      </c>
      <c r="H442" s="3">
        <v>0</v>
      </c>
    </row>
    <row r="443" spans="1:8" ht="20.100000000000001" customHeight="1">
      <c r="A443" t="s">
        <v>455</v>
      </c>
      <c r="B443" s="3">
        <v>37</v>
      </c>
      <c r="C443" s="2">
        <v>5500000</v>
      </c>
      <c r="D443" s="2">
        <v>26700000</v>
      </c>
      <c r="E443" t="s">
        <v>9</v>
      </c>
      <c r="F443" t="s">
        <v>10</v>
      </c>
      <c r="G443" t="s">
        <v>12</v>
      </c>
      <c r="H443" s="3">
        <v>0</v>
      </c>
    </row>
    <row r="444" spans="1:8" ht="20.100000000000001" customHeight="1">
      <c r="A444" t="s">
        <v>456</v>
      </c>
      <c r="B444" s="3">
        <v>46</v>
      </c>
      <c r="C444" s="2">
        <v>6500000</v>
      </c>
      <c r="D444" s="2">
        <v>38100000</v>
      </c>
      <c r="E444" t="s">
        <v>9</v>
      </c>
      <c r="F444" t="s">
        <v>10</v>
      </c>
      <c r="G444" t="s">
        <v>10</v>
      </c>
      <c r="H444" s="3">
        <v>0</v>
      </c>
    </row>
    <row r="445" spans="1:8" ht="20.100000000000001" customHeight="1">
      <c r="A445" t="s">
        <v>457</v>
      </c>
      <c r="B445" s="3">
        <v>43</v>
      </c>
      <c r="C445" s="2">
        <v>5400000</v>
      </c>
      <c r="D445" s="2">
        <v>7300000</v>
      </c>
      <c r="E445" t="s">
        <v>9</v>
      </c>
      <c r="F445" t="s">
        <v>12</v>
      </c>
      <c r="G445" t="s">
        <v>10</v>
      </c>
      <c r="H445" s="3">
        <v>0</v>
      </c>
    </row>
    <row r="446" spans="1:8" ht="20.100000000000001" customHeight="1">
      <c r="A446" t="s">
        <v>458</v>
      </c>
      <c r="B446" s="3">
        <v>27</v>
      </c>
      <c r="C446" s="2">
        <v>4800000</v>
      </c>
      <c r="D446" s="2">
        <v>6800000</v>
      </c>
      <c r="E446" t="s">
        <v>9</v>
      </c>
      <c r="F446" t="s">
        <v>10</v>
      </c>
      <c r="G446" t="s">
        <v>12</v>
      </c>
      <c r="H446" s="3">
        <v>1</v>
      </c>
    </row>
    <row r="447" spans="1:8" ht="20.100000000000001" customHeight="1">
      <c r="A447" t="s">
        <v>459</v>
      </c>
      <c r="B447" s="3">
        <v>52</v>
      </c>
      <c r="C447" s="2">
        <v>3600000</v>
      </c>
      <c r="D447" s="2">
        <v>7900000</v>
      </c>
      <c r="E447" t="s">
        <v>31</v>
      </c>
      <c r="F447" t="s">
        <v>12</v>
      </c>
      <c r="G447" t="s">
        <v>10</v>
      </c>
      <c r="H447" s="3">
        <v>0</v>
      </c>
    </row>
    <row r="448" spans="1:8" ht="20.100000000000001" customHeight="1">
      <c r="A448" t="s">
        <v>460</v>
      </c>
      <c r="B448" s="3">
        <v>21</v>
      </c>
      <c r="C448" s="2">
        <v>5200000</v>
      </c>
      <c r="D448" s="2">
        <v>4400000</v>
      </c>
      <c r="E448" t="s">
        <v>9</v>
      </c>
      <c r="F448" t="s">
        <v>10</v>
      </c>
      <c r="G448" t="s">
        <v>10</v>
      </c>
      <c r="H448" s="3">
        <v>0</v>
      </c>
    </row>
    <row r="449" spans="1:8" ht="20.100000000000001" customHeight="1">
      <c r="A449" t="s">
        <v>461</v>
      </c>
      <c r="B449" s="3">
        <v>31</v>
      </c>
      <c r="C449" s="2">
        <v>5300000</v>
      </c>
      <c r="D449" s="2">
        <v>34100000</v>
      </c>
      <c r="E449" t="s">
        <v>14</v>
      </c>
      <c r="F449" t="s">
        <v>12</v>
      </c>
      <c r="G449" t="s">
        <v>12</v>
      </c>
      <c r="H449" s="3">
        <v>0</v>
      </c>
    </row>
    <row r="450" spans="1:8" ht="20.100000000000001" customHeight="1">
      <c r="A450" t="s">
        <v>462</v>
      </c>
      <c r="B450" s="3">
        <v>32</v>
      </c>
      <c r="C450" s="2">
        <v>8800000</v>
      </c>
      <c r="D450" s="2">
        <v>17400000</v>
      </c>
      <c r="E450" t="s">
        <v>9</v>
      </c>
      <c r="F450" t="s">
        <v>10</v>
      </c>
      <c r="G450" t="s">
        <v>12</v>
      </c>
      <c r="H450" s="3">
        <v>0</v>
      </c>
    </row>
    <row r="451" spans="1:8" ht="20.100000000000001" customHeight="1">
      <c r="A451" t="s">
        <v>463</v>
      </c>
      <c r="B451" s="3">
        <v>27</v>
      </c>
      <c r="C451" s="2">
        <v>4900000</v>
      </c>
      <c r="D451" s="2">
        <v>3400000</v>
      </c>
      <c r="E451" t="s">
        <v>14</v>
      </c>
      <c r="F451" t="s">
        <v>10</v>
      </c>
      <c r="G451" t="s">
        <v>12</v>
      </c>
      <c r="H451" s="3">
        <v>0</v>
      </c>
    </row>
    <row r="452" spans="1:8" ht="20.100000000000001" customHeight="1">
      <c r="A452" t="s">
        <v>464</v>
      </c>
      <c r="B452" s="3">
        <v>21</v>
      </c>
      <c r="C452" s="2">
        <v>1800000</v>
      </c>
      <c r="D452" s="2">
        <v>6600000</v>
      </c>
      <c r="E452" t="s">
        <v>9</v>
      </c>
      <c r="F452" t="s">
        <v>12</v>
      </c>
      <c r="G452" t="s">
        <v>10</v>
      </c>
      <c r="H452" s="3">
        <v>0</v>
      </c>
    </row>
    <row r="453" spans="1:8" ht="20.100000000000001" customHeight="1">
      <c r="A453" t="s">
        <v>465</v>
      </c>
      <c r="B453" s="3">
        <v>33</v>
      </c>
      <c r="C453" s="2">
        <v>6300000</v>
      </c>
      <c r="D453" s="2">
        <v>14500000</v>
      </c>
      <c r="E453" t="s">
        <v>14</v>
      </c>
      <c r="F453" t="s">
        <v>12</v>
      </c>
      <c r="G453" t="s">
        <v>10</v>
      </c>
      <c r="H453" s="3">
        <v>1</v>
      </c>
    </row>
    <row r="454" spans="1:8" ht="20.100000000000001" customHeight="1">
      <c r="A454" t="s">
        <v>466</v>
      </c>
      <c r="B454" s="3">
        <v>27</v>
      </c>
      <c r="C454" s="2">
        <v>5300000</v>
      </c>
      <c r="D454" s="2">
        <v>14400000</v>
      </c>
      <c r="E454" t="s">
        <v>9</v>
      </c>
      <c r="F454" t="s">
        <v>12</v>
      </c>
      <c r="G454" t="s">
        <v>12</v>
      </c>
      <c r="H454" s="3">
        <v>0</v>
      </c>
    </row>
    <row r="455" spans="1:8" ht="20.100000000000001" customHeight="1">
      <c r="A455" t="s">
        <v>467</v>
      </c>
      <c r="B455" s="3">
        <v>49</v>
      </c>
      <c r="C455" s="2">
        <v>4500000</v>
      </c>
      <c r="D455" s="2">
        <v>35000000</v>
      </c>
      <c r="E455" t="s">
        <v>9</v>
      </c>
      <c r="F455" t="s">
        <v>12</v>
      </c>
      <c r="G455" t="s">
        <v>10</v>
      </c>
      <c r="H455" s="3">
        <v>0</v>
      </c>
    </row>
    <row r="456" spans="1:8" ht="20.100000000000001" customHeight="1">
      <c r="A456" t="s">
        <v>468</v>
      </c>
      <c r="B456" s="3">
        <v>37</v>
      </c>
      <c r="C456" s="2">
        <v>6400000</v>
      </c>
      <c r="D456" s="2">
        <v>9500000</v>
      </c>
      <c r="E456" t="s">
        <v>9</v>
      </c>
      <c r="F456" t="s">
        <v>12</v>
      </c>
      <c r="G456" t="s">
        <v>12</v>
      </c>
      <c r="H456" s="3">
        <v>0</v>
      </c>
    </row>
    <row r="457" spans="1:8" ht="20.100000000000001" customHeight="1">
      <c r="A457" t="s">
        <v>469</v>
      </c>
      <c r="B457" s="3">
        <v>37</v>
      </c>
      <c r="C457" s="2">
        <v>5300000</v>
      </c>
      <c r="D457" s="2">
        <v>8800000</v>
      </c>
      <c r="E457" t="s">
        <v>14</v>
      </c>
      <c r="F457" t="s">
        <v>12</v>
      </c>
      <c r="G457" t="s">
        <v>10</v>
      </c>
      <c r="H457" s="3">
        <v>1</v>
      </c>
    </row>
    <row r="458" spans="1:8" ht="20.100000000000001" customHeight="1">
      <c r="A458" t="s">
        <v>470</v>
      </c>
      <c r="B458" s="3">
        <v>51</v>
      </c>
      <c r="C458" s="2">
        <v>2700000</v>
      </c>
      <c r="D458" s="2">
        <v>8400000</v>
      </c>
      <c r="E458" t="s">
        <v>16</v>
      </c>
      <c r="F458" t="s">
        <v>12</v>
      </c>
      <c r="G458" t="s">
        <v>12</v>
      </c>
      <c r="H458" s="3">
        <v>0</v>
      </c>
    </row>
    <row r="459" spans="1:8" ht="20.100000000000001" customHeight="1">
      <c r="A459" t="s">
        <v>471</v>
      </c>
      <c r="B459" s="3">
        <v>42</v>
      </c>
      <c r="C459" s="2">
        <v>5100000</v>
      </c>
      <c r="D459" s="2">
        <v>15700000</v>
      </c>
      <c r="E459" t="s">
        <v>9</v>
      </c>
      <c r="F459" t="s">
        <v>10</v>
      </c>
      <c r="G459" t="s">
        <v>10</v>
      </c>
      <c r="H459" s="3">
        <v>0</v>
      </c>
    </row>
    <row r="460" spans="1:8" ht="20.100000000000001" customHeight="1">
      <c r="A460" t="s">
        <v>472</v>
      </c>
      <c r="B460" s="3">
        <v>26</v>
      </c>
      <c r="C460" s="2">
        <v>4800000</v>
      </c>
      <c r="D460" s="2">
        <v>14700000</v>
      </c>
      <c r="E460" t="s">
        <v>9</v>
      </c>
      <c r="F460" t="s">
        <v>10</v>
      </c>
      <c r="G460" t="s">
        <v>10</v>
      </c>
      <c r="H460" s="3">
        <v>0</v>
      </c>
    </row>
    <row r="461" spans="1:8" ht="20.100000000000001" customHeight="1">
      <c r="A461" t="s">
        <v>473</v>
      </c>
      <c r="B461" s="3">
        <v>26</v>
      </c>
      <c r="C461" s="2">
        <v>5600000</v>
      </c>
      <c r="D461" s="2">
        <v>9700000</v>
      </c>
      <c r="E461" t="s">
        <v>9</v>
      </c>
      <c r="F461" t="s">
        <v>10</v>
      </c>
      <c r="G461" t="s">
        <v>12</v>
      </c>
      <c r="H461" s="3">
        <v>0</v>
      </c>
    </row>
    <row r="462" spans="1:8" ht="20.100000000000001" customHeight="1">
      <c r="A462" t="s">
        <v>474</v>
      </c>
      <c r="B462" s="3">
        <v>52</v>
      </c>
      <c r="C462" s="2">
        <v>5100000</v>
      </c>
      <c r="D462" s="2">
        <v>133700000</v>
      </c>
      <c r="E462" t="s">
        <v>16</v>
      </c>
      <c r="F462" t="s">
        <v>10</v>
      </c>
      <c r="G462" t="s">
        <v>10</v>
      </c>
      <c r="H462" s="3">
        <v>1</v>
      </c>
    </row>
    <row r="463" spans="1:8" ht="20.100000000000001" customHeight="1">
      <c r="A463" t="s">
        <v>475</v>
      </c>
      <c r="B463" s="3">
        <v>51</v>
      </c>
      <c r="C463" s="2">
        <v>8500000</v>
      </c>
      <c r="D463" s="2">
        <v>34500000</v>
      </c>
      <c r="E463" t="s">
        <v>14</v>
      </c>
      <c r="F463" t="s">
        <v>12</v>
      </c>
      <c r="G463" t="s">
        <v>12</v>
      </c>
      <c r="H463" s="3">
        <v>0</v>
      </c>
    </row>
    <row r="464" spans="1:8" ht="20.100000000000001" customHeight="1">
      <c r="A464" t="s">
        <v>476</v>
      </c>
      <c r="B464" s="3">
        <v>31</v>
      </c>
      <c r="C464" s="2">
        <v>7000000</v>
      </c>
      <c r="D464" s="2">
        <v>23600000</v>
      </c>
      <c r="E464" t="s">
        <v>9</v>
      </c>
      <c r="F464" t="s">
        <v>10</v>
      </c>
      <c r="G464" t="s">
        <v>12</v>
      </c>
      <c r="H464" s="3">
        <v>0</v>
      </c>
    </row>
    <row r="465" spans="1:8" ht="20.100000000000001" customHeight="1">
      <c r="A465" t="s">
        <v>477</v>
      </c>
      <c r="B465" s="3">
        <v>44</v>
      </c>
      <c r="C465" s="2">
        <v>5300000</v>
      </c>
      <c r="D465" s="2">
        <v>10700000</v>
      </c>
      <c r="E465" t="s">
        <v>9</v>
      </c>
      <c r="F465" t="s">
        <v>10</v>
      </c>
      <c r="G465" t="s">
        <v>12</v>
      </c>
      <c r="H465" s="3">
        <v>0</v>
      </c>
    </row>
    <row r="466" spans="1:8" ht="20.100000000000001" customHeight="1">
      <c r="A466" t="s">
        <v>478</v>
      </c>
      <c r="B466" s="3">
        <v>42</v>
      </c>
      <c r="C466" s="2">
        <v>6900000</v>
      </c>
      <c r="D466" s="2">
        <v>52200000</v>
      </c>
      <c r="E466" t="s">
        <v>16</v>
      </c>
      <c r="F466" t="s">
        <v>12</v>
      </c>
      <c r="G466" t="s">
        <v>12</v>
      </c>
      <c r="H466" s="3">
        <v>0</v>
      </c>
    </row>
    <row r="467" spans="1:8" ht="20.100000000000001" customHeight="1">
      <c r="A467" t="s">
        <v>479</v>
      </c>
      <c r="B467" s="3">
        <v>37</v>
      </c>
      <c r="C467" s="2">
        <v>3600000</v>
      </c>
      <c r="D467" s="2">
        <v>1700000</v>
      </c>
      <c r="E467" t="s">
        <v>9</v>
      </c>
      <c r="F467" t="s">
        <v>10</v>
      </c>
      <c r="G467" t="s">
        <v>10</v>
      </c>
      <c r="H467" s="3">
        <v>0</v>
      </c>
    </row>
    <row r="468" spans="1:8" ht="20.100000000000001" customHeight="1">
      <c r="A468" t="s">
        <v>480</v>
      </c>
      <c r="B468" s="3">
        <v>29</v>
      </c>
      <c r="C468" s="2">
        <v>10000000</v>
      </c>
      <c r="D468" s="2">
        <v>22400000</v>
      </c>
      <c r="E468" t="s">
        <v>16</v>
      </c>
      <c r="F468" t="s">
        <v>12</v>
      </c>
      <c r="G468" t="s">
        <v>12</v>
      </c>
      <c r="H468" s="3">
        <v>0</v>
      </c>
    </row>
    <row r="469" spans="1:8" ht="20.100000000000001" customHeight="1">
      <c r="A469" t="s">
        <v>481</v>
      </c>
      <c r="B469" s="3">
        <v>39</v>
      </c>
      <c r="C469" s="2">
        <v>5000000</v>
      </c>
      <c r="D469" s="2">
        <v>22800000</v>
      </c>
      <c r="E469" t="s">
        <v>9</v>
      </c>
      <c r="F469" t="s">
        <v>10</v>
      </c>
      <c r="G469" t="s">
        <v>10</v>
      </c>
      <c r="H469" s="3">
        <v>0</v>
      </c>
    </row>
    <row r="470" spans="1:8" ht="20.100000000000001" customHeight="1">
      <c r="A470" t="s">
        <v>482</v>
      </c>
      <c r="B470" s="3">
        <v>31</v>
      </c>
      <c r="C470" s="2">
        <v>3500000</v>
      </c>
      <c r="D470" s="2">
        <v>3800000</v>
      </c>
      <c r="E470" t="s">
        <v>9</v>
      </c>
      <c r="F470" t="s">
        <v>12</v>
      </c>
      <c r="G470" t="s">
        <v>10</v>
      </c>
      <c r="H470" s="3">
        <v>0</v>
      </c>
    </row>
    <row r="471" spans="1:8" ht="20.100000000000001" customHeight="1">
      <c r="A471" t="s">
        <v>483</v>
      </c>
      <c r="B471" s="3">
        <v>21</v>
      </c>
      <c r="C471" s="2">
        <v>4800000</v>
      </c>
      <c r="D471" s="2">
        <v>9700000</v>
      </c>
      <c r="E471" t="s">
        <v>9</v>
      </c>
      <c r="F471" t="s">
        <v>12</v>
      </c>
      <c r="G471" t="s">
        <v>12</v>
      </c>
      <c r="H471" s="3">
        <v>0</v>
      </c>
    </row>
    <row r="472" spans="1:8" ht="20.100000000000001" customHeight="1">
      <c r="A472" t="s">
        <v>484</v>
      </c>
      <c r="B472" s="3">
        <v>33</v>
      </c>
      <c r="C472" s="2">
        <v>3900000</v>
      </c>
      <c r="D472" s="2">
        <v>18700000</v>
      </c>
      <c r="E472" t="s">
        <v>16</v>
      </c>
      <c r="F472" t="s">
        <v>10</v>
      </c>
      <c r="G472" t="s">
        <v>12</v>
      </c>
      <c r="H472" s="3">
        <v>0</v>
      </c>
    </row>
    <row r="473" spans="1:8" ht="20.100000000000001" customHeight="1">
      <c r="A473" t="s">
        <v>485</v>
      </c>
      <c r="B473" s="3">
        <v>50</v>
      </c>
      <c r="C473" s="2">
        <v>2200000</v>
      </c>
      <c r="D473" s="2">
        <v>13200000</v>
      </c>
      <c r="E473" t="s">
        <v>16</v>
      </c>
      <c r="F473" t="s">
        <v>12</v>
      </c>
      <c r="G473" t="s">
        <v>10</v>
      </c>
      <c r="H473" s="3">
        <v>1</v>
      </c>
    </row>
    <row r="474" spans="1:8" ht="20.100000000000001" customHeight="1">
      <c r="A474" t="s">
        <v>486</v>
      </c>
      <c r="B474" s="3">
        <v>21</v>
      </c>
      <c r="C474" s="2">
        <v>8700000</v>
      </c>
      <c r="D474" s="2">
        <v>16300000</v>
      </c>
      <c r="E474" t="s">
        <v>14</v>
      </c>
      <c r="F474" t="s">
        <v>12</v>
      </c>
      <c r="G474" t="s">
        <v>12</v>
      </c>
      <c r="H474" s="3">
        <v>0</v>
      </c>
    </row>
    <row r="475" spans="1:8" ht="20.100000000000001" customHeight="1">
      <c r="A475" t="s">
        <v>487</v>
      </c>
      <c r="B475" s="3">
        <v>44</v>
      </c>
      <c r="C475" s="2">
        <v>7900000</v>
      </c>
      <c r="D475" s="2">
        <v>23000000</v>
      </c>
      <c r="E475" t="s">
        <v>16</v>
      </c>
      <c r="F475" t="s">
        <v>10</v>
      </c>
      <c r="G475" t="s">
        <v>12</v>
      </c>
      <c r="H475" s="3">
        <v>0</v>
      </c>
    </row>
    <row r="476" spans="1:8" ht="20.100000000000001" customHeight="1">
      <c r="A476" t="s">
        <v>488</v>
      </c>
      <c r="B476" s="3">
        <v>40</v>
      </c>
      <c r="C476" s="2">
        <v>3300000</v>
      </c>
      <c r="D476" s="2">
        <v>19500000</v>
      </c>
      <c r="E476" t="s">
        <v>16</v>
      </c>
      <c r="F476" t="s">
        <v>10</v>
      </c>
      <c r="G476" t="s">
        <v>12</v>
      </c>
      <c r="H476" s="3">
        <v>0</v>
      </c>
    </row>
    <row r="477" spans="1:8" ht="20.100000000000001" customHeight="1">
      <c r="A477" t="s">
        <v>489</v>
      </c>
      <c r="B477" s="3">
        <v>47</v>
      </c>
      <c r="C477" s="2">
        <v>5600000</v>
      </c>
      <c r="D477" s="2">
        <v>17200000</v>
      </c>
      <c r="E477" t="s">
        <v>9</v>
      </c>
      <c r="F477" t="s">
        <v>10</v>
      </c>
      <c r="G477" t="s">
        <v>12</v>
      </c>
      <c r="H477" s="3">
        <v>1</v>
      </c>
    </row>
    <row r="478" spans="1:8" ht="20.100000000000001" customHeight="1">
      <c r="A478" t="s">
        <v>490</v>
      </c>
      <c r="B478" s="3">
        <v>35</v>
      </c>
      <c r="C478" s="2">
        <v>6400000</v>
      </c>
      <c r="D478" s="2">
        <v>38900000</v>
      </c>
      <c r="E478" t="s">
        <v>9</v>
      </c>
      <c r="F478" t="s">
        <v>12</v>
      </c>
      <c r="G478" t="s">
        <v>10</v>
      </c>
      <c r="H478" s="3">
        <v>0</v>
      </c>
    </row>
    <row r="479" spans="1:8" ht="20.100000000000001" customHeight="1">
      <c r="A479" t="s">
        <v>491</v>
      </c>
      <c r="B479" s="3">
        <v>21</v>
      </c>
      <c r="C479" s="2">
        <v>7200000</v>
      </c>
      <c r="D479" s="2">
        <v>69800000</v>
      </c>
      <c r="E479" t="s">
        <v>14</v>
      </c>
      <c r="F479" t="s">
        <v>10</v>
      </c>
      <c r="G479" t="s">
        <v>12</v>
      </c>
      <c r="H479" s="3">
        <v>0</v>
      </c>
    </row>
    <row r="480" spans="1:8" ht="20.100000000000001" customHeight="1">
      <c r="A480" t="s">
        <v>492</v>
      </c>
      <c r="B480" s="3">
        <v>24</v>
      </c>
      <c r="C480" s="2">
        <v>6300000</v>
      </c>
      <c r="D480" s="2">
        <v>20500000</v>
      </c>
      <c r="E480" t="s">
        <v>16</v>
      </c>
      <c r="F480" t="s">
        <v>10</v>
      </c>
      <c r="G480" t="s">
        <v>10</v>
      </c>
      <c r="H480" s="3">
        <v>0</v>
      </c>
    </row>
    <row r="481" spans="1:8" ht="20.100000000000001" customHeight="1">
      <c r="A481" t="s">
        <v>493</v>
      </c>
      <c r="B481" s="3">
        <v>45</v>
      </c>
      <c r="C481" s="2">
        <v>7900000</v>
      </c>
      <c r="D481" s="2">
        <v>15100000</v>
      </c>
      <c r="E481" t="s">
        <v>9</v>
      </c>
      <c r="F481" t="s">
        <v>10</v>
      </c>
      <c r="G481" t="s">
        <v>10</v>
      </c>
      <c r="H481" s="3">
        <v>0</v>
      </c>
    </row>
    <row r="482" spans="1:8" ht="20.100000000000001" customHeight="1">
      <c r="A482" t="s">
        <v>494</v>
      </c>
      <c r="B482" s="3">
        <v>37</v>
      </c>
      <c r="C482" s="2">
        <v>8100000</v>
      </c>
      <c r="D482" s="2">
        <v>35400000</v>
      </c>
      <c r="E482" t="s">
        <v>16</v>
      </c>
      <c r="F482" t="s">
        <v>12</v>
      </c>
      <c r="G482" t="s">
        <v>12</v>
      </c>
      <c r="H482" s="3">
        <v>0</v>
      </c>
    </row>
    <row r="483" spans="1:8" ht="20.100000000000001" customHeight="1">
      <c r="A483" t="s">
        <v>495</v>
      </c>
      <c r="B483" s="3">
        <v>55</v>
      </c>
      <c r="C483" s="2">
        <v>2600000</v>
      </c>
      <c r="D483" s="2">
        <v>8600000</v>
      </c>
      <c r="E483" t="s">
        <v>16</v>
      </c>
      <c r="F483" t="s">
        <v>12</v>
      </c>
      <c r="G483" t="s">
        <v>12</v>
      </c>
      <c r="H483" s="3">
        <v>0</v>
      </c>
    </row>
    <row r="484" spans="1:8" ht="20.100000000000001" customHeight="1">
      <c r="A484" t="s">
        <v>496</v>
      </c>
      <c r="B484" s="3">
        <v>59</v>
      </c>
      <c r="C484" s="2">
        <v>5000000</v>
      </c>
      <c r="D484" s="2">
        <v>7600000</v>
      </c>
      <c r="E484" t="s">
        <v>31</v>
      </c>
      <c r="F484" t="s">
        <v>10</v>
      </c>
      <c r="G484" t="s">
        <v>10</v>
      </c>
      <c r="H484" s="3">
        <v>1</v>
      </c>
    </row>
    <row r="485" spans="1:8" ht="20.100000000000001" customHeight="1">
      <c r="A485" t="s">
        <v>497</v>
      </c>
      <c r="B485" s="3">
        <v>21</v>
      </c>
      <c r="C485" s="2">
        <v>3900000</v>
      </c>
      <c r="D485" s="2">
        <v>1200000</v>
      </c>
      <c r="E485" t="s">
        <v>9</v>
      </c>
      <c r="F485" t="s">
        <v>10</v>
      </c>
      <c r="G485" t="s">
        <v>12</v>
      </c>
      <c r="H485" s="3">
        <v>0</v>
      </c>
    </row>
    <row r="486" spans="1:8" ht="20.100000000000001" customHeight="1">
      <c r="A486" t="s">
        <v>498</v>
      </c>
      <c r="B486" s="3">
        <v>47</v>
      </c>
      <c r="C486" s="2">
        <v>4100000</v>
      </c>
      <c r="D486" s="2">
        <v>155000000</v>
      </c>
      <c r="E486" t="s">
        <v>16</v>
      </c>
      <c r="F486" t="s">
        <v>12</v>
      </c>
      <c r="G486" t="s">
        <v>10</v>
      </c>
      <c r="H486" s="3">
        <v>1</v>
      </c>
    </row>
    <row r="487" spans="1:8" ht="20.100000000000001" customHeight="1">
      <c r="A487" t="s">
        <v>499</v>
      </c>
      <c r="B487" s="3">
        <v>27</v>
      </c>
      <c r="C487" s="2">
        <v>3600000</v>
      </c>
      <c r="D487" s="2">
        <v>10600000</v>
      </c>
      <c r="E487" t="s">
        <v>9</v>
      </c>
      <c r="F487" t="s">
        <v>10</v>
      </c>
      <c r="G487" t="s">
        <v>10</v>
      </c>
      <c r="H487" s="3">
        <v>0</v>
      </c>
    </row>
    <row r="488" spans="1:8" ht="20.100000000000001" customHeight="1">
      <c r="A488" t="s">
        <v>500</v>
      </c>
      <c r="B488" s="3">
        <v>49</v>
      </c>
      <c r="C488" s="2">
        <v>5200000</v>
      </c>
      <c r="D488" s="2">
        <v>49100000</v>
      </c>
      <c r="E488" t="s">
        <v>9</v>
      </c>
      <c r="F488" t="s">
        <v>12</v>
      </c>
      <c r="G488" t="s">
        <v>10</v>
      </c>
      <c r="H488" s="3">
        <v>0</v>
      </c>
    </row>
    <row r="489" spans="1:8" ht="20.100000000000001" customHeight="1">
      <c r="A489" t="s">
        <v>501</v>
      </c>
      <c r="B489" s="3">
        <v>33</v>
      </c>
      <c r="C489" s="2">
        <v>6400000</v>
      </c>
      <c r="D489" s="2">
        <v>24700000</v>
      </c>
      <c r="E489" t="s">
        <v>9</v>
      </c>
      <c r="F489" t="s">
        <v>10</v>
      </c>
      <c r="G489" t="s">
        <v>12</v>
      </c>
      <c r="H489" s="3">
        <v>0</v>
      </c>
    </row>
    <row r="490" spans="1:8" ht="20.100000000000001" customHeight="1">
      <c r="A490" t="s">
        <v>502</v>
      </c>
      <c r="B490" s="3">
        <v>32</v>
      </c>
      <c r="C490" s="2">
        <v>7000000</v>
      </c>
      <c r="D490" s="2">
        <v>16100000</v>
      </c>
      <c r="E490" t="s">
        <v>9</v>
      </c>
      <c r="F490" t="s">
        <v>10</v>
      </c>
      <c r="G490" t="s">
        <v>10</v>
      </c>
      <c r="H490" s="3">
        <v>0</v>
      </c>
    </row>
    <row r="491" spans="1:8" ht="20.100000000000001" customHeight="1">
      <c r="A491" t="s">
        <v>503</v>
      </c>
      <c r="B491" s="3">
        <v>31</v>
      </c>
      <c r="C491" s="2">
        <v>5800000</v>
      </c>
      <c r="D491" s="2">
        <v>12600000</v>
      </c>
      <c r="E491" t="s">
        <v>9</v>
      </c>
      <c r="F491" t="s">
        <v>12</v>
      </c>
      <c r="G491" t="s">
        <v>12</v>
      </c>
      <c r="H491" s="3">
        <v>0</v>
      </c>
    </row>
    <row r="492" spans="1:8" ht="20.100000000000001" customHeight="1">
      <c r="A492" t="s">
        <v>504</v>
      </c>
      <c r="B492" s="3">
        <v>25</v>
      </c>
      <c r="C492" s="2">
        <v>15900000</v>
      </c>
      <c r="D492" s="2">
        <v>56200000</v>
      </c>
      <c r="E492" t="s">
        <v>16</v>
      </c>
      <c r="F492" t="s">
        <v>10</v>
      </c>
      <c r="G492" t="s">
        <v>10</v>
      </c>
      <c r="H492" s="3">
        <v>1</v>
      </c>
    </row>
    <row r="493" spans="1:8" ht="20.100000000000001" customHeight="1">
      <c r="A493" t="s">
        <v>505</v>
      </c>
      <c r="B493" s="3">
        <v>45</v>
      </c>
      <c r="C493" s="2">
        <v>4200000</v>
      </c>
      <c r="D493" s="2">
        <v>38800000</v>
      </c>
      <c r="E493" t="s">
        <v>9</v>
      </c>
      <c r="F493" t="s">
        <v>10</v>
      </c>
      <c r="G493" t="s">
        <v>12</v>
      </c>
      <c r="H493" s="3">
        <v>0</v>
      </c>
    </row>
    <row r="494" spans="1:8" ht="20.100000000000001" customHeight="1">
      <c r="A494" t="s">
        <v>506</v>
      </c>
      <c r="B494" s="3">
        <v>61</v>
      </c>
      <c r="C494" s="2">
        <v>4100000</v>
      </c>
      <c r="D494" s="2">
        <v>49300000</v>
      </c>
      <c r="E494" t="s">
        <v>9</v>
      </c>
      <c r="F494" t="s">
        <v>12</v>
      </c>
      <c r="G494" t="s">
        <v>10</v>
      </c>
      <c r="H494" s="3">
        <v>1</v>
      </c>
    </row>
    <row r="495" spans="1:8" ht="20.100000000000001" customHeight="1">
      <c r="A495" t="s">
        <v>507</v>
      </c>
      <c r="B495" s="3">
        <v>35</v>
      </c>
      <c r="C495" s="2">
        <v>5300000</v>
      </c>
      <c r="D495" s="2">
        <v>31300000</v>
      </c>
      <c r="E495" t="s">
        <v>9</v>
      </c>
      <c r="F495" t="s">
        <v>12</v>
      </c>
      <c r="G495" t="s">
        <v>10</v>
      </c>
      <c r="H495" s="3">
        <v>1</v>
      </c>
    </row>
    <row r="496" spans="1:8" ht="20.100000000000001" customHeight="1">
      <c r="A496" t="s">
        <v>508</v>
      </c>
      <c r="B496" s="3">
        <v>27</v>
      </c>
      <c r="C496" s="2">
        <v>2100000</v>
      </c>
      <c r="D496" s="2">
        <v>14200000</v>
      </c>
      <c r="E496" t="s">
        <v>16</v>
      </c>
      <c r="F496" t="s">
        <v>12</v>
      </c>
      <c r="G496" t="s">
        <v>12</v>
      </c>
      <c r="H496" s="3">
        <v>0</v>
      </c>
    </row>
    <row r="497" spans="1:8" ht="20.100000000000001" customHeight="1">
      <c r="A497" t="s">
        <v>509</v>
      </c>
      <c r="B497" s="3">
        <v>30</v>
      </c>
      <c r="C497" s="2">
        <v>6000000</v>
      </c>
      <c r="D497" s="2">
        <v>62600000</v>
      </c>
      <c r="E497" t="s">
        <v>9</v>
      </c>
      <c r="F497" t="s">
        <v>12</v>
      </c>
      <c r="G497" t="s">
        <v>12</v>
      </c>
      <c r="H497" s="3">
        <v>1</v>
      </c>
    </row>
    <row r="498" spans="1:8" ht="20.100000000000001" customHeight="1">
      <c r="A498" t="s">
        <v>510</v>
      </c>
      <c r="B498" s="3">
        <v>40</v>
      </c>
      <c r="C498" s="2">
        <v>10000000</v>
      </c>
      <c r="D498" s="2">
        <v>32800000</v>
      </c>
      <c r="E498" t="s">
        <v>16</v>
      </c>
      <c r="F498" t="s">
        <v>12</v>
      </c>
      <c r="G498" t="s">
        <v>12</v>
      </c>
      <c r="H498" s="3">
        <v>0</v>
      </c>
    </row>
    <row r="499" spans="1:8" ht="20.100000000000001" customHeight="1">
      <c r="A499" t="s">
        <v>511</v>
      </c>
      <c r="B499" s="3">
        <v>26</v>
      </c>
      <c r="C499" s="2">
        <v>6300000</v>
      </c>
      <c r="D499" s="2">
        <v>15100000</v>
      </c>
      <c r="E499" t="s">
        <v>9</v>
      </c>
      <c r="F499" t="s">
        <v>12</v>
      </c>
      <c r="G499" t="s">
        <v>12</v>
      </c>
      <c r="H499" s="3">
        <v>0</v>
      </c>
    </row>
    <row r="500" spans="1:8" ht="20.100000000000001" customHeight="1">
      <c r="A500" t="s">
        <v>512</v>
      </c>
      <c r="B500" s="3">
        <v>25</v>
      </c>
      <c r="C500" s="2">
        <v>7200000</v>
      </c>
      <c r="D500" s="2">
        <v>19700000</v>
      </c>
      <c r="E500" t="s">
        <v>14</v>
      </c>
      <c r="F500" t="s">
        <v>10</v>
      </c>
      <c r="G500" t="s">
        <v>10</v>
      </c>
      <c r="H500" s="3">
        <v>0</v>
      </c>
    </row>
    <row r="501" spans="1:8" ht="20.100000000000001" customHeight="1">
      <c r="A501" t="s">
        <v>513</v>
      </c>
      <c r="B501" s="3">
        <v>46</v>
      </c>
      <c r="C501" s="2">
        <v>4500000</v>
      </c>
      <c r="D501" s="2">
        <v>8500000</v>
      </c>
      <c r="E501" t="s">
        <v>9</v>
      </c>
      <c r="F501" t="s">
        <v>12</v>
      </c>
      <c r="G501" t="s">
        <v>12</v>
      </c>
      <c r="H501" s="3">
        <v>0</v>
      </c>
    </row>
    <row r="502" spans="1:8" ht="20.100000000000001" customHeight="1">
      <c r="A502" t="s">
        <v>514</v>
      </c>
      <c r="B502" s="3">
        <v>34</v>
      </c>
      <c r="C502" s="2">
        <v>2900000</v>
      </c>
      <c r="D502" s="2">
        <v>6900000</v>
      </c>
      <c r="E502" t="s">
        <v>9</v>
      </c>
      <c r="F502" t="s">
        <v>10</v>
      </c>
      <c r="G502" t="s">
        <v>12</v>
      </c>
      <c r="H502" s="3">
        <v>0</v>
      </c>
    </row>
    <row r="503" spans="1:8" ht="20.100000000000001" customHeight="1">
      <c r="A503" t="s">
        <v>515</v>
      </c>
      <c r="B503" s="3">
        <v>54</v>
      </c>
      <c r="C503" s="2">
        <v>5200000</v>
      </c>
      <c r="D503" s="2">
        <v>34000000</v>
      </c>
      <c r="E503" t="s">
        <v>14</v>
      </c>
      <c r="F503" t="s">
        <v>10</v>
      </c>
      <c r="G503" t="s">
        <v>10</v>
      </c>
      <c r="H503" s="3">
        <v>1</v>
      </c>
    </row>
    <row r="504" spans="1:8" ht="20.100000000000001" customHeight="1">
      <c r="A504" t="s">
        <v>516</v>
      </c>
      <c r="B504" s="3">
        <v>30</v>
      </c>
      <c r="C504" s="2">
        <v>6000000</v>
      </c>
      <c r="D504" s="2">
        <v>65400000</v>
      </c>
      <c r="E504" t="s">
        <v>16</v>
      </c>
      <c r="F504" t="s">
        <v>12</v>
      </c>
      <c r="G504" t="s">
        <v>10</v>
      </c>
      <c r="H504" s="3">
        <v>1</v>
      </c>
    </row>
    <row r="505" spans="1:8" ht="20.100000000000001" customHeight="1">
      <c r="A505" t="s">
        <v>517</v>
      </c>
      <c r="B505" s="3">
        <v>21</v>
      </c>
      <c r="C505" s="2">
        <v>6900000</v>
      </c>
      <c r="D505" s="2">
        <v>4000000</v>
      </c>
      <c r="E505" t="s">
        <v>9</v>
      </c>
      <c r="F505" t="s">
        <v>12</v>
      </c>
      <c r="G505" t="s">
        <v>12</v>
      </c>
      <c r="H505" s="3">
        <v>0</v>
      </c>
    </row>
    <row r="506" spans="1:8" ht="20.100000000000001" customHeight="1">
      <c r="A506" t="s">
        <v>518</v>
      </c>
      <c r="B506" s="3">
        <v>36</v>
      </c>
      <c r="C506" s="2">
        <v>4200000</v>
      </c>
      <c r="D506" s="2">
        <v>19100000</v>
      </c>
      <c r="E506" t="s">
        <v>9</v>
      </c>
      <c r="F506" t="s">
        <v>12</v>
      </c>
      <c r="G506" t="s">
        <v>12</v>
      </c>
      <c r="H506" s="3">
        <v>0</v>
      </c>
    </row>
    <row r="507" spans="1:8" ht="20.100000000000001" customHeight="1">
      <c r="A507" t="s">
        <v>519</v>
      </c>
      <c r="B507" s="3">
        <v>45</v>
      </c>
      <c r="C507" s="2">
        <v>6200000</v>
      </c>
      <c r="D507" s="2">
        <v>39000000</v>
      </c>
      <c r="E507" t="s">
        <v>9</v>
      </c>
      <c r="F507" t="s">
        <v>12</v>
      </c>
      <c r="G507" t="s">
        <v>10</v>
      </c>
      <c r="H507" s="3">
        <v>0</v>
      </c>
    </row>
    <row r="508" spans="1:8" ht="20.100000000000001" customHeight="1">
      <c r="A508" t="s">
        <v>520</v>
      </c>
      <c r="B508" s="3">
        <v>51</v>
      </c>
      <c r="C508" s="2">
        <v>8800000</v>
      </c>
      <c r="D508" s="2">
        <v>37100000</v>
      </c>
      <c r="E508" t="s">
        <v>9</v>
      </c>
      <c r="F508" t="s">
        <v>12</v>
      </c>
      <c r="G508" t="s">
        <v>10</v>
      </c>
      <c r="H508" s="3">
        <v>1</v>
      </c>
    </row>
    <row r="509" spans="1:8" ht="20.100000000000001" customHeight="1">
      <c r="A509" t="s">
        <v>521</v>
      </c>
      <c r="B509" s="3">
        <v>36</v>
      </c>
      <c r="C509" s="2">
        <v>7400000</v>
      </c>
      <c r="D509" s="2">
        <v>21500000</v>
      </c>
      <c r="E509" t="s">
        <v>9</v>
      </c>
      <c r="F509" t="s">
        <v>12</v>
      </c>
      <c r="G509" t="s">
        <v>10</v>
      </c>
      <c r="H509" s="3">
        <v>0</v>
      </c>
    </row>
    <row r="510" spans="1:8" ht="20.100000000000001" customHeight="1">
      <c r="A510" t="s">
        <v>522</v>
      </c>
      <c r="B510" s="3">
        <v>35</v>
      </c>
      <c r="C510" s="2">
        <v>5000000</v>
      </c>
      <c r="D510" s="2">
        <v>7400000</v>
      </c>
      <c r="E510" t="s">
        <v>9</v>
      </c>
      <c r="F510" t="s">
        <v>12</v>
      </c>
      <c r="G510" t="s">
        <v>10</v>
      </c>
      <c r="H510" s="3">
        <v>0</v>
      </c>
    </row>
    <row r="511" spans="1:8" ht="20.100000000000001" customHeight="1">
      <c r="A511" t="s">
        <v>523</v>
      </c>
      <c r="B511" s="3">
        <v>36</v>
      </c>
      <c r="C511" s="2">
        <v>2500000</v>
      </c>
      <c r="D511" s="2">
        <v>2500000</v>
      </c>
      <c r="E511" t="s">
        <v>16</v>
      </c>
      <c r="F511" t="s">
        <v>12</v>
      </c>
      <c r="G511" t="s">
        <v>10</v>
      </c>
      <c r="H511" s="3">
        <v>0</v>
      </c>
    </row>
    <row r="512" spans="1:8" ht="20.100000000000001" customHeight="1">
      <c r="A512" t="s">
        <v>524</v>
      </c>
      <c r="B512" s="3">
        <v>40</v>
      </c>
      <c r="C512" s="2">
        <v>4900000</v>
      </c>
      <c r="D512" s="2">
        <v>55400000</v>
      </c>
      <c r="E512" t="s">
        <v>9</v>
      </c>
      <c r="F512" t="s">
        <v>10</v>
      </c>
      <c r="G512" t="s">
        <v>10</v>
      </c>
      <c r="H512" s="3">
        <v>0</v>
      </c>
    </row>
    <row r="513" spans="1:8" ht="20.100000000000001" customHeight="1">
      <c r="A513" t="s">
        <v>525</v>
      </c>
      <c r="B513" s="3">
        <v>21</v>
      </c>
      <c r="C513" s="2">
        <v>7200000</v>
      </c>
      <c r="D513" s="2">
        <v>7700000</v>
      </c>
      <c r="E513" t="s">
        <v>9</v>
      </c>
      <c r="F513" t="s">
        <v>12</v>
      </c>
      <c r="G513" t="s">
        <v>12</v>
      </c>
      <c r="H513" s="3">
        <v>0</v>
      </c>
    </row>
    <row r="514" spans="1:8" ht="20.100000000000001" customHeight="1">
      <c r="A514" t="s">
        <v>526</v>
      </c>
      <c r="B514" s="3">
        <v>68</v>
      </c>
      <c r="C514" s="2">
        <v>3100000</v>
      </c>
      <c r="D514" s="2">
        <v>7300000</v>
      </c>
      <c r="E514" t="s">
        <v>31</v>
      </c>
      <c r="F514" t="s">
        <v>12</v>
      </c>
      <c r="G514" t="s">
        <v>10</v>
      </c>
      <c r="H514" s="3">
        <v>1</v>
      </c>
    </row>
    <row r="515" spans="1:8" ht="20.100000000000001" customHeight="1">
      <c r="A515" t="s">
        <v>527</v>
      </c>
      <c r="B515" s="3">
        <v>47</v>
      </c>
      <c r="C515" s="2">
        <v>5000000</v>
      </c>
      <c r="D515" s="2">
        <v>19000000</v>
      </c>
      <c r="E515" t="s">
        <v>16</v>
      </c>
      <c r="F515" t="s">
        <v>12</v>
      </c>
      <c r="G515" t="s">
        <v>12</v>
      </c>
      <c r="H515" s="3">
        <v>0</v>
      </c>
    </row>
    <row r="516" spans="1:8" ht="20.100000000000001" customHeight="1">
      <c r="A516" t="s">
        <v>528</v>
      </c>
      <c r="B516" s="3">
        <v>47</v>
      </c>
      <c r="C516" s="2">
        <v>9900000</v>
      </c>
      <c r="D516" s="2">
        <v>16600000</v>
      </c>
      <c r="E516" t="s">
        <v>16</v>
      </c>
      <c r="F516" t="s">
        <v>10</v>
      </c>
      <c r="G516" t="s">
        <v>12</v>
      </c>
      <c r="H516" s="3">
        <v>0</v>
      </c>
    </row>
    <row r="517" spans="1:8" ht="20.100000000000001" customHeight="1">
      <c r="A517" t="s">
        <v>529</v>
      </c>
      <c r="B517" s="3">
        <v>60</v>
      </c>
      <c r="C517" s="2">
        <v>4300000</v>
      </c>
      <c r="D517" s="2">
        <v>15500000</v>
      </c>
      <c r="E517" t="s">
        <v>16</v>
      </c>
      <c r="F517" t="s">
        <v>10</v>
      </c>
      <c r="G517" t="s">
        <v>12</v>
      </c>
      <c r="H517" s="3">
        <v>0</v>
      </c>
    </row>
    <row r="518" spans="1:8" ht="20.100000000000001" customHeight="1">
      <c r="A518" t="s">
        <v>530</v>
      </c>
      <c r="B518" s="3">
        <v>38</v>
      </c>
      <c r="C518" s="2">
        <v>5000000</v>
      </c>
      <c r="D518" s="2">
        <v>43000000</v>
      </c>
      <c r="E518" t="s">
        <v>16</v>
      </c>
      <c r="F518" t="s">
        <v>10</v>
      </c>
      <c r="G518" t="s">
        <v>12</v>
      </c>
      <c r="H518" s="3">
        <v>0</v>
      </c>
    </row>
    <row r="519" spans="1:8" ht="20.100000000000001" customHeight="1">
      <c r="A519" t="s">
        <v>531</v>
      </c>
      <c r="B519" s="3">
        <v>36</v>
      </c>
      <c r="C519" s="2">
        <v>3400000</v>
      </c>
      <c r="D519" s="2">
        <v>12300000</v>
      </c>
      <c r="E519" t="s">
        <v>16</v>
      </c>
      <c r="F519" t="s">
        <v>10</v>
      </c>
      <c r="G519" t="s">
        <v>10</v>
      </c>
      <c r="H519" s="3">
        <v>0</v>
      </c>
    </row>
    <row r="520" spans="1:8" ht="20.100000000000001" customHeight="1">
      <c r="A520" t="s">
        <v>532</v>
      </c>
      <c r="B520" s="3">
        <v>28</v>
      </c>
      <c r="C520" s="2">
        <v>5400000</v>
      </c>
      <c r="D520" s="2">
        <v>7600000</v>
      </c>
      <c r="E520" t="s">
        <v>16</v>
      </c>
      <c r="F520" t="s">
        <v>12</v>
      </c>
      <c r="G520" t="s">
        <v>12</v>
      </c>
      <c r="H520" s="3">
        <v>0</v>
      </c>
    </row>
    <row r="521" spans="1:8" ht="20.100000000000001" customHeight="1">
      <c r="A521" t="s">
        <v>533</v>
      </c>
      <c r="B521" s="3">
        <v>39</v>
      </c>
      <c r="C521" s="2">
        <v>5500000</v>
      </c>
      <c r="D521" s="2">
        <v>38800000</v>
      </c>
      <c r="E521" t="s">
        <v>9</v>
      </c>
      <c r="F521" t="s">
        <v>12</v>
      </c>
      <c r="G521" t="s">
        <v>12</v>
      </c>
      <c r="H521" s="3">
        <v>0</v>
      </c>
    </row>
    <row r="522" spans="1:8" ht="20.100000000000001" customHeight="1">
      <c r="A522" t="s">
        <v>534</v>
      </c>
      <c r="B522" s="3">
        <v>53</v>
      </c>
      <c r="C522" s="2">
        <v>2600000</v>
      </c>
      <c r="D522" s="2">
        <v>7700000</v>
      </c>
      <c r="E522" t="s">
        <v>16</v>
      </c>
      <c r="F522" t="s">
        <v>10</v>
      </c>
      <c r="G522" t="s">
        <v>12</v>
      </c>
      <c r="H522" s="3">
        <v>0</v>
      </c>
    </row>
    <row r="523" spans="1:8" ht="20.100000000000001" customHeight="1">
      <c r="A523" t="s">
        <v>535</v>
      </c>
      <c r="B523" s="3">
        <v>38</v>
      </c>
      <c r="C523" s="2">
        <v>1800000</v>
      </c>
      <c r="D523" s="2">
        <v>18800000</v>
      </c>
      <c r="E523" t="s">
        <v>16</v>
      </c>
      <c r="F523" t="s">
        <v>10</v>
      </c>
      <c r="G523" t="s">
        <v>12</v>
      </c>
      <c r="H523" s="3">
        <v>0</v>
      </c>
    </row>
    <row r="524" spans="1:8" ht="20.100000000000001" customHeight="1">
      <c r="A524" t="s">
        <v>536</v>
      </c>
      <c r="B524" s="3">
        <v>35</v>
      </c>
      <c r="C524" s="2">
        <v>2600000</v>
      </c>
      <c r="D524" s="2">
        <v>11900000</v>
      </c>
      <c r="E524" t="s">
        <v>16</v>
      </c>
      <c r="F524" t="s">
        <v>12</v>
      </c>
      <c r="G524" t="s">
        <v>12</v>
      </c>
      <c r="H524" s="3">
        <v>0</v>
      </c>
    </row>
    <row r="525" spans="1:8" ht="20.100000000000001" customHeight="1">
      <c r="A525" t="s">
        <v>537</v>
      </c>
      <c r="B525" s="3">
        <v>58</v>
      </c>
      <c r="C525" s="2">
        <v>10700000</v>
      </c>
      <c r="D525" s="2">
        <v>113800000</v>
      </c>
      <c r="E525" t="s">
        <v>16</v>
      </c>
      <c r="F525" t="s">
        <v>10</v>
      </c>
      <c r="G525" t="s">
        <v>10</v>
      </c>
      <c r="H525" s="3">
        <v>0</v>
      </c>
    </row>
    <row r="526" spans="1:8" ht="20.100000000000001" customHeight="1">
      <c r="A526" t="s">
        <v>538</v>
      </c>
      <c r="B526" s="3">
        <v>48</v>
      </c>
      <c r="C526" s="2">
        <v>2700000</v>
      </c>
      <c r="D526" s="2">
        <v>55100000</v>
      </c>
      <c r="E526" t="s">
        <v>16</v>
      </c>
      <c r="F526" t="s">
        <v>12</v>
      </c>
      <c r="G526" t="s">
        <v>12</v>
      </c>
      <c r="H526" s="3">
        <v>0</v>
      </c>
    </row>
    <row r="527" spans="1:8" ht="20.100000000000001" customHeight="1">
      <c r="A527" t="s">
        <v>539</v>
      </c>
      <c r="B527" s="3">
        <v>51</v>
      </c>
      <c r="C527" s="2">
        <v>8600000</v>
      </c>
      <c r="D527" s="2">
        <v>89300000</v>
      </c>
      <c r="E527" t="s">
        <v>14</v>
      </c>
      <c r="F527" t="s">
        <v>10</v>
      </c>
      <c r="G527" t="s">
        <v>12</v>
      </c>
      <c r="H527" s="3">
        <v>1</v>
      </c>
    </row>
    <row r="528" spans="1:8" ht="20.100000000000001" customHeight="1">
      <c r="A528" t="s">
        <v>540</v>
      </c>
      <c r="B528" s="3">
        <v>31</v>
      </c>
      <c r="C528" s="2">
        <v>5100000</v>
      </c>
      <c r="D528" s="2">
        <v>11700000</v>
      </c>
      <c r="E528" t="s">
        <v>9</v>
      </c>
      <c r="F528" t="s">
        <v>12</v>
      </c>
      <c r="G528" t="s">
        <v>12</v>
      </c>
      <c r="H528" s="3">
        <v>0</v>
      </c>
    </row>
    <row r="529" spans="1:8" ht="20.100000000000001" customHeight="1">
      <c r="A529" t="s">
        <v>541</v>
      </c>
      <c r="B529" s="3">
        <v>21</v>
      </c>
      <c r="C529" s="2">
        <v>9200000</v>
      </c>
      <c r="D529" s="2">
        <v>7500000</v>
      </c>
      <c r="E529" t="s">
        <v>14</v>
      </c>
      <c r="F529" t="s">
        <v>10</v>
      </c>
      <c r="G529" t="s">
        <v>12</v>
      </c>
      <c r="H529" s="3">
        <v>1</v>
      </c>
    </row>
    <row r="530" spans="1:8" ht="20.100000000000001" customHeight="1">
      <c r="A530" t="s">
        <v>542</v>
      </c>
      <c r="B530" s="3">
        <v>60</v>
      </c>
      <c r="C530" s="2">
        <v>3300000</v>
      </c>
      <c r="D530" s="2">
        <v>8600000</v>
      </c>
      <c r="E530" t="s">
        <v>31</v>
      </c>
      <c r="F530" t="s">
        <v>12</v>
      </c>
      <c r="G530" t="s">
        <v>12</v>
      </c>
      <c r="H530" s="3">
        <v>0</v>
      </c>
    </row>
    <row r="531" spans="1:8" ht="20.100000000000001" customHeight="1">
      <c r="A531" t="s">
        <v>543</v>
      </c>
      <c r="B531" s="3">
        <v>39</v>
      </c>
      <c r="C531" s="2">
        <v>6300000</v>
      </c>
      <c r="D531" s="2">
        <v>25300000</v>
      </c>
      <c r="E531" t="s">
        <v>9</v>
      </c>
      <c r="F531" t="s">
        <v>10</v>
      </c>
      <c r="G531" t="s">
        <v>10</v>
      </c>
      <c r="H531" s="3">
        <v>0</v>
      </c>
    </row>
    <row r="532" spans="1:8" ht="20.100000000000001" customHeight="1">
      <c r="A532" t="s">
        <v>544</v>
      </c>
      <c r="B532" s="3">
        <v>36</v>
      </c>
      <c r="C532" s="2">
        <v>5900000</v>
      </c>
      <c r="D532" s="2">
        <v>22200000</v>
      </c>
      <c r="E532" t="s">
        <v>14</v>
      </c>
      <c r="F532" t="s">
        <v>10</v>
      </c>
      <c r="G532" t="s">
        <v>12</v>
      </c>
      <c r="H532" s="3">
        <v>0</v>
      </c>
    </row>
    <row r="533" spans="1:8" ht="20.100000000000001" customHeight="1">
      <c r="A533" t="s">
        <v>545</v>
      </c>
      <c r="B533" s="3">
        <v>53</v>
      </c>
      <c r="C533" s="2">
        <v>10500000</v>
      </c>
      <c r="D533" s="2">
        <v>42800000</v>
      </c>
      <c r="E533" t="s">
        <v>16</v>
      </c>
      <c r="F533" t="s">
        <v>12</v>
      </c>
      <c r="G533" t="s">
        <v>10</v>
      </c>
      <c r="H533" s="3">
        <v>1</v>
      </c>
    </row>
    <row r="534" spans="1:8" ht="20.100000000000001" customHeight="1">
      <c r="A534" t="s">
        <v>546</v>
      </c>
      <c r="B534" s="3">
        <v>60</v>
      </c>
      <c r="C534" s="2">
        <v>8500000</v>
      </c>
      <c r="D534" s="2">
        <v>24500000</v>
      </c>
      <c r="E534" t="s">
        <v>14</v>
      </c>
      <c r="F534" t="s">
        <v>12</v>
      </c>
      <c r="G534" t="s">
        <v>10</v>
      </c>
      <c r="H534" s="3">
        <v>0</v>
      </c>
    </row>
    <row r="535" spans="1:8" ht="20.100000000000001" customHeight="1">
      <c r="A535" t="s">
        <v>547</v>
      </c>
      <c r="B535" s="3">
        <v>40</v>
      </c>
      <c r="C535" s="2">
        <v>7500000</v>
      </c>
      <c r="D535" s="2">
        <v>41000000</v>
      </c>
      <c r="E535" t="s">
        <v>14</v>
      </c>
      <c r="F535" t="s">
        <v>12</v>
      </c>
      <c r="G535" t="s">
        <v>10</v>
      </c>
      <c r="H535" s="3">
        <v>1</v>
      </c>
    </row>
    <row r="536" spans="1:8" ht="20.100000000000001" customHeight="1">
      <c r="A536" t="s">
        <v>548</v>
      </c>
      <c r="B536" s="3">
        <v>50</v>
      </c>
      <c r="C536" s="2">
        <v>3100000</v>
      </c>
      <c r="D536" s="2">
        <v>9500000</v>
      </c>
      <c r="E536" t="s">
        <v>9</v>
      </c>
      <c r="F536" t="s">
        <v>12</v>
      </c>
      <c r="G536" t="s">
        <v>10</v>
      </c>
      <c r="H536" s="3">
        <v>0</v>
      </c>
    </row>
    <row r="537" spans="1:8" ht="20.100000000000001" customHeight="1">
      <c r="A537" t="s">
        <v>549</v>
      </c>
      <c r="B537" s="3">
        <v>41</v>
      </c>
      <c r="C537" s="2">
        <v>4900000</v>
      </c>
      <c r="D537" s="2">
        <v>3900000</v>
      </c>
      <c r="E537" t="s">
        <v>14</v>
      </c>
      <c r="F537" t="s">
        <v>12</v>
      </c>
      <c r="G537" t="s">
        <v>10</v>
      </c>
      <c r="H537" s="3">
        <v>1</v>
      </c>
    </row>
    <row r="538" spans="1:8" ht="20.100000000000001" customHeight="1">
      <c r="A538" t="s">
        <v>550</v>
      </c>
      <c r="B538" s="3">
        <v>64</v>
      </c>
      <c r="C538" s="2">
        <v>4200000</v>
      </c>
      <c r="D538" s="2">
        <v>10300000</v>
      </c>
      <c r="E538" t="s">
        <v>31</v>
      </c>
      <c r="F538" t="s">
        <v>10</v>
      </c>
      <c r="G538" t="s">
        <v>10</v>
      </c>
      <c r="H538" s="3">
        <v>1</v>
      </c>
    </row>
    <row r="539" spans="1:8" ht="20.100000000000001" customHeight="1">
      <c r="A539" t="s">
        <v>551</v>
      </c>
      <c r="B539" s="3">
        <v>44</v>
      </c>
      <c r="C539" s="2">
        <v>5000000</v>
      </c>
      <c r="D539" s="2">
        <v>7400000</v>
      </c>
      <c r="E539" t="s">
        <v>9</v>
      </c>
      <c r="F539" t="s">
        <v>12</v>
      </c>
      <c r="G539" t="s">
        <v>10</v>
      </c>
      <c r="H539" s="3">
        <v>0</v>
      </c>
    </row>
    <row r="540" spans="1:8" ht="20.100000000000001" customHeight="1">
      <c r="A540" t="s">
        <v>552</v>
      </c>
      <c r="B540" s="3">
        <v>39</v>
      </c>
      <c r="C540" s="2">
        <v>10500000</v>
      </c>
      <c r="D540" s="2">
        <v>30000000</v>
      </c>
      <c r="E540" t="s">
        <v>14</v>
      </c>
      <c r="F540" t="s">
        <v>12</v>
      </c>
      <c r="G540" t="s">
        <v>10</v>
      </c>
      <c r="H540" s="3">
        <v>1</v>
      </c>
    </row>
    <row r="541" spans="1:8" ht="20.100000000000001" customHeight="1">
      <c r="A541" t="s">
        <v>553</v>
      </c>
      <c r="B541" s="3">
        <v>42</v>
      </c>
      <c r="C541" s="2">
        <v>4300000</v>
      </c>
      <c r="D541" s="2">
        <v>11200000</v>
      </c>
      <c r="E541" t="s">
        <v>9</v>
      </c>
      <c r="F541" t="s">
        <v>10</v>
      </c>
      <c r="G541" t="s">
        <v>12</v>
      </c>
      <c r="H541" s="3">
        <v>1</v>
      </c>
    </row>
    <row r="542" spans="1:8" ht="20.100000000000001" customHeight="1">
      <c r="A542" t="s">
        <v>554</v>
      </c>
      <c r="B542" s="3">
        <v>47</v>
      </c>
      <c r="C542" s="2">
        <v>6400000</v>
      </c>
      <c r="D542" s="2">
        <v>11300000</v>
      </c>
      <c r="E542" t="s">
        <v>14</v>
      </c>
      <c r="F542" t="s">
        <v>12</v>
      </c>
      <c r="G542" t="s">
        <v>10</v>
      </c>
      <c r="H542" s="3">
        <v>1</v>
      </c>
    </row>
    <row r="543" spans="1:8" ht="20.100000000000001" customHeight="1">
      <c r="A543" t="s">
        <v>555</v>
      </c>
      <c r="B543" s="3">
        <v>51</v>
      </c>
      <c r="C543" s="2">
        <v>3600000</v>
      </c>
      <c r="D543" s="2">
        <v>10600000</v>
      </c>
      <c r="E543" t="s">
        <v>16</v>
      </c>
      <c r="F543" t="s">
        <v>12</v>
      </c>
      <c r="G543" t="s">
        <v>12</v>
      </c>
      <c r="H543" s="3">
        <v>0</v>
      </c>
    </row>
    <row r="544" spans="1:8" ht="20.100000000000001" customHeight="1">
      <c r="A544" t="s">
        <v>556</v>
      </c>
      <c r="B544" s="3">
        <v>40</v>
      </c>
      <c r="C544" s="2">
        <v>3900000</v>
      </c>
      <c r="D544" s="2">
        <v>20500000</v>
      </c>
      <c r="E544" t="s">
        <v>9</v>
      </c>
      <c r="F544" t="s">
        <v>10</v>
      </c>
      <c r="G544" t="s">
        <v>10</v>
      </c>
      <c r="H544" s="3">
        <v>0</v>
      </c>
    </row>
    <row r="545" spans="1:8" ht="20.100000000000001" customHeight="1">
      <c r="A545" t="s">
        <v>557</v>
      </c>
      <c r="B545" s="3">
        <v>35</v>
      </c>
      <c r="C545" s="2">
        <v>5600000</v>
      </c>
      <c r="D545" s="2">
        <v>26900000</v>
      </c>
      <c r="E545" t="s">
        <v>9</v>
      </c>
      <c r="F545" t="s">
        <v>12</v>
      </c>
      <c r="G545" t="s">
        <v>12</v>
      </c>
      <c r="H545" s="3">
        <v>0</v>
      </c>
    </row>
    <row r="546" spans="1:8" ht="20.100000000000001" customHeight="1">
      <c r="A546" t="s">
        <v>558</v>
      </c>
      <c r="B546" s="3">
        <v>38</v>
      </c>
      <c r="C546" s="2">
        <v>3900000</v>
      </c>
      <c r="D546" s="2">
        <v>4600000</v>
      </c>
      <c r="E546" t="s">
        <v>9</v>
      </c>
      <c r="F546" t="s">
        <v>12</v>
      </c>
      <c r="G546" t="s">
        <v>10</v>
      </c>
      <c r="H546" s="3">
        <v>0</v>
      </c>
    </row>
    <row r="547" spans="1:8" ht="20.100000000000001" customHeight="1">
      <c r="A547" t="s">
        <v>559</v>
      </c>
      <c r="B547" s="3">
        <v>39</v>
      </c>
      <c r="C547" s="2">
        <v>4200000</v>
      </c>
      <c r="D547" s="2">
        <v>18300000</v>
      </c>
      <c r="E547" t="s">
        <v>9</v>
      </c>
      <c r="F547" t="s">
        <v>12</v>
      </c>
      <c r="G547" t="s">
        <v>12</v>
      </c>
      <c r="H547" s="3">
        <v>0</v>
      </c>
    </row>
    <row r="548" spans="1:8" ht="20.100000000000001" customHeight="1">
      <c r="A548" t="s">
        <v>560</v>
      </c>
      <c r="B548" s="3">
        <v>52</v>
      </c>
      <c r="C548" s="2">
        <v>7400000</v>
      </c>
      <c r="D548" s="2">
        <v>36200000</v>
      </c>
      <c r="E548" t="s">
        <v>9</v>
      </c>
      <c r="F548" t="s">
        <v>10</v>
      </c>
      <c r="G548" t="s">
        <v>12</v>
      </c>
      <c r="H548" s="3">
        <v>0</v>
      </c>
    </row>
    <row r="549" spans="1:8" ht="20.100000000000001" customHeight="1">
      <c r="A549" t="s">
        <v>561</v>
      </c>
      <c r="B549" s="3">
        <v>46</v>
      </c>
      <c r="C549" s="2">
        <v>11900000</v>
      </c>
      <c r="D549" s="2">
        <v>55500000</v>
      </c>
      <c r="E549" t="s">
        <v>9</v>
      </c>
      <c r="F549" t="s">
        <v>10</v>
      </c>
      <c r="G549" t="s">
        <v>12</v>
      </c>
      <c r="H549" s="3">
        <v>0</v>
      </c>
    </row>
    <row r="550" spans="1:8" ht="20.100000000000001" customHeight="1">
      <c r="A550" t="s">
        <v>562</v>
      </c>
      <c r="B550" s="3">
        <v>43</v>
      </c>
      <c r="C550" s="2">
        <v>4800000</v>
      </c>
      <c r="D550" s="2">
        <v>3700000</v>
      </c>
      <c r="E550" t="s">
        <v>14</v>
      </c>
      <c r="F550" t="s">
        <v>12</v>
      </c>
      <c r="G550" t="s">
        <v>12</v>
      </c>
      <c r="H550" s="3">
        <v>0</v>
      </c>
    </row>
    <row r="551" spans="1:8" ht="20.100000000000001" customHeight="1">
      <c r="A551" t="s">
        <v>563</v>
      </c>
      <c r="B551" s="3">
        <v>61</v>
      </c>
      <c r="C551" s="2">
        <v>6900000</v>
      </c>
      <c r="D551" s="2">
        <v>42200000</v>
      </c>
      <c r="E551" t="s">
        <v>9</v>
      </c>
      <c r="F551" t="s">
        <v>12</v>
      </c>
      <c r="G551" t="s">
        <v>10</v>
      </c>
      <c r="H551" s="3">
        <v>1</v>
      </c>
    </row>
    <row r="552" spans="1:8" ht="20.100000000000001" customHeight="1">
      <c r="A552" t="s">
        <v>564</v>
      </c>
      <c r="B552" s="3">
        <v>42</v>
      </c>
      <c r="C552" s="2">
        <v>6200000</v>
      </c>
      <c r="D552" s="2">
        <v>2100000</v>
      </c>
      <c r="E552" t="s">
        <v>16</v>
      </c>
      <c r="F552" t="s">
        <v>10</v>
      </c>
      <c r="G552" t="s">
        <v>10</v>
      </c>
      <c r="H552" s="3">
        <v>0</v>
      </c>
    </row>
    <row r="553" spans="1:8" ht="20.100000000000001" customHeight="1">
      <c r="A553" t="s">
        <v>565</v>
      </c>
      <c r="B553" s="3">
        <v>34</v>
      </c>
      <c r="C553" s="2">
        <v>5400000</v>
      </c>
      <c r="D553" s="2">
        <v>14300000</v>
      </c>
      <c r="E553" t="s">
        <v>14</v>
      </c>
      <c r="F553" t="s">
        <v>12</v>
      </c>
      <c r="G553" t="s">
        <v>12</v>
      </c>
      <c r="H553" s="3">
        <v>0</v>
      </c>
    </row>
    <row r="554" spans="1:8" ht="20.100000000000001" customHeight="1">
      <c r="A554" t="s">
        <v>566</v>
      </c>
      <c r="B554" s="3">
        <v>35</v>
      </c>
      <c r="C554" s="2">
        <v>3500000</v>
      </c>
      <c r="D554" s="2">
        <v>5300000</v>
      </c>
      <c r="E554" t="s">
        <v>16</v>
      </c>
      <c r="F554" t="s">
        <v>10</v>
      </c>
      <c r="G554" t="s">
        <v>12</v>
      </c>
      <c r="H554" s="3">
        <v>0</v>
      </c>
    </row>
    <row r="555" spans="1:8" ht="20.100000000000001" customHeight="1">
      <c r="A555" t="s">
        <v>567</v>
      </c>
      <c r="B555" s="3">
        <v>46</v>
      </c>
      <c r="C555" s="2">
        <v>6200000</v>
      </c>
      <c r="D555" s="2">
        <v>60200000</v>
      </c>
      <c r="E555" t="s">
        <v>9</v>
      </c>
      <c r="F555" t="s">
        <v>12</v>
      </c>
      <c r="G555" t="s">
        <v>10</v>
      </c>
      <c r="H555" s="3">
        <v>0</v>
      </c>
    </row>
    <row r="556" spans="1:8" ht="20.100000000000001" customHeight="1">
      <c r="A556" t="s">
        <v>568</v>
      </c>
      <c r="B556" s="3">
        <v>60</v>
      </c>
      <c r="C556" s="2">
        <v>11000000</v>
      </c>
      <c r="D556" s="2">
        <v>49100000</v>
      </c>
      <c r="E556" t="s">
        <v>16</v>
      </c>
      <c r="F556" t="s">
        <v>10</v>
      </c>
      <c r="G556" t="s">
        <v>12</v>
      </c>
      <c r="H556" s="3">
        <v>1</v>
      </c>
    </row>
    <row r="557" spans="1:8" ht="20.100000000000001" customHeight="1">
      <c r="A557" t="s">
        <v>569</v>
      </c>
      <c r="B557" s="3">
        <v>29</v>
      </c>
      <c r="C557" s="2">
        <v>6000000</v>
      </c>
      <c r="D557" s="2">
        <v>9200000</v>
      </c>
      <c r="E557" t="s">
        <v>9</v>
      </c>
      <c r="F557" t="s">
        <v>12</v>
      </c>
      <c r="G557" t="s">
        <v>12</v>
      </c>
      <c r="H557" s="3">
        <v>0</v>
      </c>
    </row>
    <row r="558" spans="1:8" ht="20.100000000000001" customHeight="1">
      <c r="A558" t="s">
        <v>570</v>
      </c>
      <c r="B558" s="3">
        <v>50</v>
      </c>
      <c r="C558" s="2">
        <v>6500000</v>
      </c>
      <c r="D558" s="2">
        <v>10300000</v>
      </c>
      <c r="E558" t="s">
        <v>9</v>
      </c>
      <c r="F558" t="s">
        <v>10</v>
      </c>
      <c r="G558" t="s">
        <v>12</v>
      </c>
      <c r="H558" s="3">
        <v>0</v>
      </c>
    </row>
    <row r="559" spans="1:8" ht="20.100000000000001" customHeight="1">
      <c r="A559" t="s">
        <v>571</v>
      </c>
      <c r="B559" s="3">
        <v>55</v>
      </c>
      <c r="C559" s="2">
        <v>5100000</v>
      </c>
      <c r="D559" s="2">
        <v>26600000</v>
      </c>
      <c r="E559" t="s">
        <v>9</v>
      </c>
      <c r="F559" t="s">
        <v>12</v>
      </c>
      <c r="G559" t="s">
        <v>12</v>
      </c>
      <c r="H559" s="3">
        <v>1</v>
      </c>
    </row>
    <row r="560" spans="1:8" ht="20.100000000000001" customHeight="1">
      <c r="A560" t="s">
        <v>572</v>
      </c>
      <c r="B560" s="3">
        <v>45</v>
      </c>
      <c r="C560" s="2">
        <v>6300000</v>
      </c>
      <c r="D560" s="2">
        <v>7100000</v>
      </c>
      <c r="E560" t="s">
        <v>9</v>
      </c>
      <c r="F560" t="s">
        <v>12</v>
      </c>
      <c r="G560" t="s">
        <v>12</v>
      </c>
      <c r="H560" s="3">
        <v>1</v>
      </c>
    </row>
    <row r="561" spans="1:8" ht="20.100000000000001" customHeight="1">
      <c r="A561" t="s">
        <v>573</v>
      </c>
      <c r="B561" s="3">
        <v>21</v>
      </c>
      <c r="C561" s="2">
        <v>9500000</v>
      </c>
      <c r="D561" s="2">
        <v>18100000</v>
      </c>
      <c r="E561" t="s">
        <v>16</v>
      </c>
      <c r="F561" t="s">
        <v>10</v>
      </c>
      <c r="G561" t="s">
        <v>10</v>
      </c>
      <c r="H561" s="3">
        <v>0</v>
      </c>
    </row>
    <row r="562" spans="1:8" ht="20.100000000000001" customHeight="1">
      <c r="A562" t="s">
        <v>574</v>
      </c>
      <c r="B562" s="3">
        <v>39</v>
      </c>
      <c r="C562" s="2">
        <v>4700000</v>
      </c>
      <c r="D562" s="2">
        <v>8200000</v>
      </c>
      <c r="E562" t="s">
        <v>16</v>
      </c>
      <c r="F562" t="s">
        <v>10</v>
      </c>
      <c r="G562" t="s">
        <v>10</v>
      </c>
      <c r="H562" s="3">
        <v>0</v>
      </c>
    </row>
    <row r="563" spans="1:8" ht="20.100000000000001" customHeight="1">
      <c r="A563" t="s">
        <v>575</v>
      </c>
      <c r="B563" s="3">
        <v>52</v>
      </c>
      <c r="C563" s="2">
        <v>8200000</v>
      </c>
      <c r="D563" s="2">
        <v>11600000</v>
      </c>
      <c r="E563" t="s">
        <v>9</v>
      </c>
      <c r="F563" t="s">
        <v>12</v>
      </c>
      <c r="G563" t="s">
        <v>12</v>
      </c>
      <c r="H563" s="3">
        <v>1</v>
      </c>
    </row>
    <row r="564" spans="1:8" ht="20.100000000000001" customHeight="1">
      <c r="A564" t="s">
        <v>576</v>
      </c>
      <c r="B564" s="3">
        <v>58</v>
      </c>
      <c r="C564" s="2">
        <v>10600000</v>
      </c>
      <c r="D564" s="2">
        <v>24000000</v>
      </c>
      <c r="E564" t="s">
        <v>16</v>
      </c>
      <c r="F564" t="s">
        <v>10</v>
      </c>
      <c r="G564" t="s">
        <v>12</v>
      </c>
      <c r="H564" s="3">
        <v>0</v>
      </c>
    </row>
    <row r="565" spans="1:8" ht="20.100000000000001" customHeight="1">
      <c r="A565" t="s">
        <v>577</v>
      </c>
      <c r="B565" s="3">
        <v>29</v>
      </c>
      <c r="C565" s="2">
        <v>5700000</v>
      </c>
      <c r="D565" s="2">
        <v>11800000</v>
      </c>
      <c r="E565" t="s">
        <v>14</v>
      </c>
      <c r="F565" t="s">
        <v>10</v>
      </c>
      <c r="G565" t="s">
        <v>12</v>
      </c>
      <c r="H565" s="3">
        <v>1</v>
      </c>
    </row>
    <row r="566" spans="1:8" ht="20.100000000000001" customHeight="1">
      <c r="A566" t="s">
        <v>578</v>
      </c>
      <c r="B566" s="3">
        <v>40</v>
      </c>
      <c r="C566" s="2">
        <v>5100000</v>
      </c>
      <c r="D566" s="2">
        <v>10300000</v>
      </c>
      <c r="E566" t="s">
        <v>16</v>
      </c>
      <c r="F566" t="s">
        <v>12</v>
      </c>
      <c r="G566" t="s">
        <v>10</v>
      </c>
      <c r="H566" s="3">
        <v>1</v>
      </c>
    </row>
    <row r="567" spans="1:8" ht="20.100000000000001" customHeight="1">
      <c r="A567" t="s">
        <v>579</v>
      </c>
      <c r="B567" s="3">
        <v>26</v>
      </c>
      <c r="C567" s="2">
        <v>2800000</v>
      </c>
      <c r="D567" s="2">
        <v>2700000</v>
      </c>
      <c r="E567" t="s">
        <v>16</v>
      </c>
      <c r="F567" t="s">
        <v>10</v>
      </c>
      <c r="G567" t="s">
        <v>10</v>
      </c>
      <c r="H567" s="3">
        <v>1</v>
      </c>
    </row>
    <row r="568" spans="1:8" ht="20.100000000000001" customHeight="1">
      <c r="A568" t="s">
        <v>580</v>
      </c>
      <c r="B568" s="3">
        <v>34</v>
      </c>
      <c r="C568" s="2">
        <v>9300000</v>
      </c>
      <c r="D568" s="2">
        <v>37500000</v>
      </c>
      <c r="E568" t="s">
        <v>9</v>
      </c>
      <c r="F568" t="s">
        <v>12</v>
      </c>
      <c r="G568" t="s">
        <v>12</v>
      </c>
      <c r="H568" s="3">
        <v>1</v>
      </c>
    </row>
    <row r="569" spans="1:8" ht="20.100000000000001" customHeight="1">
      <c r="A569" t="s">
        <v>581</v>
      </c>
      <c r="B569" s="3">
        <v>45</v>
      </c>
      <c r="C569" s="2">
        <v>7900000</v>
      </c>
      <c r="D569" s="2">
        <v>50500000</v>
      </c>
      <c r="E569" t="s">
        <v>14</v>
      </c>
      <c r="F569" t="s">
        <v>10</v>
      </c>
      <c r="G569" t="s">
        <v>12</v>
      </c>
      <c r="H569" s="3">
        <v>1</v>
      </c>
    </row>
    <row r="570" spans="1:8" ht="20.100000000000001" customHeight="1">
      <c r="A570" t="s">
        <v>582</v>
      </c>
      <c r="B570" s="3">
        <v>60</v>
      </c>
      <c r="C570" s="2">
        <v>3500000</v>
      </c>
      <c r="D570" s="2">
        <v>5100000</v>
      </c>
      <c r="E570" t="s">
        <v>9</v>
      </c>
      <c r="F570" t="s">
        <v>12</v>
      </c>
      <c r="G570" t="s">
        <v>10</v>
      </c>
      <c r="H570" s="3">
        <v>0</v>
      </c>
    </row>
    <row r="571" spans="1:8" ht="20.100000000000001" customHeight="1">
      <c r="A571" t="s">
        <v>583</v>
      </c>
      <c r="B571" s="3">
        <v>37</v>
      </c>
      <c r="C571" s="2">
        <v>11800000</v>
      </c>
      <c r="D571" s="2">
        <v>75700000</v>
      </c>
      <c r="E571" t="s">
        <v>14</v>
      </c>
      <c r="F571" t="s">
        <v>10</v>
      </c>
      <c r="G571" t="s">
        <v>10</v>
      </c>
      <c r="H571" s="3">
        <v>1</v>
      </c>
    </row>
    <row r="572" spans="1:8" ht="20.100000000000001" customHeight="1">
      <c r="A572" t="s">
        <v>584</v>
      </c>
      <c r="B572" s="3">
        <v>21</v>
      </c>
      <c r="C572" s="2">
        <v>6100000</v>
      </c>
      <c r="D572" s="2">
        <v>8400000</v>
      </c>
      <c r="E572" t="s">
        <v>9</v>
      </c>
      <c r="F572" t="s">
        <v>10</v>
      </c>
      <c r="G572" t="s">
        <v>12</v>
      </c>
      <c r="H572" s="3">
        <v>0</v>
      </c>
    </row>
    <row r="573" spans="1:8" ht="20.100000000000001" customHeight="1">
      <c r="A573" t="s">
        <v>585</v>
      </c>
      <c r="B573" s="3">
        <v>39</v>
      </c>
      <c r="C573" s="2">
        <v>6600000</v>
      </c>
      <c r="D573" s="2">
        <v>30400000</v>
      </c>
      <c r="E573" t="s">
        <v>9</v>
      </c>
      <c r="F573" t="s">
        <v>10</v>
      </c>
      <c r="G573" t="s">
        <v>12</v>
      </c>
      <c r="H573" s="3">
        <v>0</v>
      </c>
    </row>
    <row r="574" spans="1:8" ht="20.100000000000001" customHeight="1">
      <c r="A574" t="s">
        <v>586</v>
      </c>
      <c r="B574" s="3">
        <v>32</v>
      </c>
      <c r="C574" s="2">
        <v>6600000</v>
      </c>
      <c r="D574" s="2">
        <v>60600000</v>
      </c>
      <c r="E574" t="s">
        <v>9</v>
      </c>
      <c r="F574" t="s">
        <v>12</v>
      </c>
      <c r="G574" t="s">
        <v>12</v>
      </c>
      <c r="H574" s="3">
        <v>0</v>
      </c>
    </row>
    <row r="575" spans="1:8" ht="20.100000000000001" customHeight="1">
      <c r="A575" t="s">
        <v>587</v>
      </c>
      <c r="B575" s="3">
        <v>49</v>
      </c>
      <c r="C575" s="2">
        <v>6100000</v>
      </c>
      <c r="D575" s="2">
        <v>9400000</v>
      </c>
      <c r="E575" t="s">
        <v>16</v>
      </c>
      <c r="F575" t="s">
        <v>12</v>
      </c>
      <c r="G575" t="s">
        <v>10</v>
      </c>
      <c r="H575" s="3">
        <v>1</v>
      </c>
    </row>
    <row r="576" spans="1:8" ht="20.100000000000001" customHeight="1">
      <c r="A576" t="s">
        <v>588</v>
      </c>
      <c r="B576" s="3">
        <v>49</v>
      </c>
      <c r="C576" s="2">
        <v>4800000</v>
      </c>
      <c r="D576" s="2">
        <v>10400000</v>
      </c>
      <c r="E576" t="s">
        <v>9</v>
      </c>
      <c r="F576" t="s">
        <v>12</v>
      </c>
      <c r="G576" t="s">
        <v>10</v>
      </c>
      <c r="H576" s="3">
        <v>1</v>
      </c>
    </row>
    <row r="577" spans="1:8" ht="20.100000000000001" customHeight="1">
      <c r="A577" t="s">
        <v>589</v>
      </c>
      <c r="B577" s="3">
        <v>53</v>
      </c>
      <c r="C577" s="2">
        <v>9900000</v>
      </c>
      <c r="D577" s="2">
        <v>14700000</v>
      </c>
      <c r="E577" t="s">
        <v>14</v>
      </c>
      <c r="F577" t="s">
        <v>12</v>
      </c>
      <c r="G577" t="s">
        <v>12</v>
      </c>
      <c r="H577" s="3">
        <v>1</v>
      </c>
    </row>
    <row r="578" spans="1:8" ht="20.100000000000001" customHeight="1">
      <c r="A578" t="s">
        <v>590</v>
      </c>
      <c r="B578" s="3">
        <v>39</v>
      </c>
      <c r="C578" s="2">
        <v>9500000</v>
      </c>
      <c r="D578" s="2">
        <v>91100000</v>
      </c>
      <c r="E578" t="s">
        <v>14</v>
      </c>
      <c r="F578" t="s">
        <v>10</v>
      </c>
      <c r="G578" t="s">
        <v>12</v>
      </c>
      <c r="H578" s="3">
        <v>0</v>
      </c>
    </row>
    <row r="579" spans="1:8" ht="20.100000000000001" customHeight="1">
      <c r="A579" t="s">
        <v>591</v>
      </c>
      <c r="B579" s="3">
        <v>51</v>
      </c>
      <c r="C579" s="2">
        <v>13000000</v>
      </c>
      <c r="D579" s="2">
        <v>115300000</v>
      </c>
      <c r="E579" t="s">
        <v>16</v>
      </c>
      <c r="F579" t="s">
        <v>12</v>
      </c>
      <c r="G579" t="s">
        <v>10</v>
      </c>
      <c r="H579" s="3">
        <v>1</v>
      </c>
    </row>
    <row r="580" spans="1:8" ht="20.100000000000001" customHeight="1">
      <c r="A580" t="s">
        <v>592</v>
      </c>
      <c r="B580" s="3">
        <v>32</v>
      </c>
      <c r="C580" s="2">
        <v>8600000</v>
      </c>
      <c r="D580" s="2">
        <v>100100000</v>
      </c>
      <c r="E580" t="s">
        <v>14</v>
      </c>
      <c r="F580" t="s">
        <v>12</v>
      </c>
      <c r="G580" t="s">
        <v>12</v>
      </c>
      <c r="H580" s="3">
        <v>0</v>
      </c>
    </row>
    <row r="581" spans="1:8" ht="20.100000000000001" customHeight="1">
      <c r="A581" t="s">
        <v>593</v>
      </c>
      <c r="B581" s="3">
        <v>30</v>
      </c>
      <c r="C581" s="2">
        <v>2900000</v>
      </c>
      <c r="D581" s="2">
        <v>9600000</v>
      </c>
      <c r="E581" t="s">
        <v>9</v>
      </c>
      <c r="F581" t="s">
        <v>10</v>
      </c>
      <c r="G581" t="s">
        <v>10</v>
      </c>
      <c r="H581" s="3">
        <v>0</v>
      </c>
    </row>
    <row r="582" spans="1:8" ht="20.100000000000001" customHeight="1">
      <c r="A582" t="s">
        <v>594</v>
      </c>
      <c r="B582" s="3">
        <v>48</v>
      </c>
      <c r="C582" s="2">
        <v>9600000</v>
      </c>
      <c r="D582" s="2">
        <v>31900000</v>
      </c>
      <c r="E582" t="s">
        <v>9</v>
      </c>
      <c r="F582" t="s">
        <v>10</v>
      </c>
      <c r="G582" t="s">
        <v>12</v>
      </c>
      <c r="H582" s="3">
        <v>0</v>
      </c>
    </row>
    <row r="583" spans="1:8" ht="20.100000000000001" customHeight="1">
      <c r="A583" t="s">
        <v>595</v>
      </c>
      <c r="B583" s="3">
        <v>41</v>
      </c>
      <c r="C583" s="2">
        <v>5500000</v>
      </c>
      <c r="D583" s="2">
        <v>10400000</v>
      </c>
      <c r="E583" t="s">
        <v>16</v>
      </c>
      <c r="F583" t="s">
        <v>10</v>
      </c>
      <c r="G583" t="s">
        <v>12</v>
      </c>
      <c r="H583" s="3">
        <v>0</v>
      </c>
    </row>
    <row r="584" spans="1:8" ht="20.100000000000001" customHeight="1">
      <c r="A584" t="s">
        <v>596</v>
      </c>
      <c r="B584" s="3">
        <v>55</v>
      </c>
      <c r="C584" s="2">
        <v>5300000</v>
      </c>
      <c r="D584" s="2">
        <v>40800000</v>
      </c>
      <c r="E584" t="s">
        <v>9</v>
      </c>
      <c r="F584" t="s">
        <v>10</v>
      </c>
      <c r="G584" t="s">
        <v>12</v>
      </c>
      <c r="H584" s="3">
        <v>0</v>
      </c>
    </row>
    <row r="585" spans="1:8" ht="20.100000000000001" customHeight="1">
      <c r="A585" t="s">
        <v>597</v>
      </c>
      <c r="B585" s="3">
        <v>21</v>
      </c>
      <c r="C585" s="2">
        <v>4500000</v>
      </c>
      <c r="D585" s="2">
        <v>3700000</v>
      </c>
      <c r="E585" t="s">
        <v>14</v>
      </c>
      <c r="F585" t="s">
        <v>10</v>
      </c>
      <c r="G585" t="s">
        <v>12</v>
      </c>
      <c r="H585" s="3">
        <v>0</v>
      </c>
    </row>
    <row r="586" spans="1:8" ht="20.100000000000001" customHeight="1">
      <c r="A586" t="s">
        <v>598</v>
      </c>
      <c r="B586" s="3">
        <v>33</v>
      </c>
      <c r="C586" s="2">
        <v>7600000</v>
      </c>
      <c r="D586" s="2">
        <v>39100000</v>
      </c>
      <c r="E586" t="s">
        <v>14</v>
      </c>
      <c r="F586" t="s">
        <v>12</v>
      </c>
      <c r="G586" t="s">
        <v>10</v>
      </c>
      <c r="H586" s="3">
        <v>1</v>
      </c>
    </row>
    <row r="587" spans="1:8" ht="20.100000000000001" customHeight="1">
      <c r="A587" t="s">
        <v>599</v>
      </c>
      <c r="B587" s="3">
        <v>50</v>
      </c>
      <c r="C587" s="2">
        <v>9800000</v>
      </c>
      <c r="D587" s="2">
        <v>155000000</v>
      </c>
      <c r="E587" t="s">
        <v>9</v>
      </c>
      <c r="F587" t="s">
        <v>12</v>
      </c>
      <c r="G587" t="s">
        <v>10</v>
      </c>
      <c r="H587" s="3">
        <v>1</v>
      </c>
    </row>
    <row r="588" spans="1:8" ht="20.100000000000001" customHeight="1">
      <c r="A588" t="s">
        <v>600</v>
      </c>
      <c r="B588" s="3">
        <v>21</v>
      </c>
      <c r="C588" s="2">
        <v>4000000</v>
      </c>
      <c r="D588" s="2">
        <v>16400000</v>
      </c>
      <c r="E588" t="s">
        <v>9</v>
      </c>
      <c r="F588" t="s">
        <v>10</v>
      </c>
      <c r="G588" t="s">
        <v>10</v>
      </c>
      <c r="H588" s="3">
        <v>0</v>
      </c>
    </row>
    <row r="589" spans="1:8" ht="20.100000000000001" customHeight="1">
      <c r="A589" t="s">
        <v>601</v>
      </c>
      <c r="B589" s="3">
        <v>44</v>
      </c>
      <c r="C589" s="2">
        <v>13700000</v>
      </c>
      <c r="D589" s="2">
        <v>18000000</v>
      </c>
      <c r="E589" t="s">
        <v>16</v>
      </c>
      <c r="F589" t="s">
        <v>10</v>
      </c>
      <c r="G589" t="s">
        <v>12</v>
      </c>
      <c r="H589" s="3">
        <v>0</v>
      </c>
    </row>
    <row r="590" spans="1:8" ht="20.100000000000001" customHeight="1">
      <c r="A590" t="s">
        <v>602</v>
      </c>
      <c r="B590" s="3">
        <v>49</v>
      </c>
      <c r="C590" s="2">
        <v>5100000</v>
      </c>
      <c r="D590" s="2">
        <v>104500000</v>
      </c>
      <c r="E590" t="s">
        <v>9</v>
      </c>
      <c r="F590" t="s">
        <v>12</v>
      </c>
      <c r="G590" t="s">
        <v>10</v>
      </c>
      <c r="H590" s="3">
        <v>1</v>
      </c>
    </row>
    <row r="591" spans="1:8" ht="20.100000000000001" customHeight="1">
      <c r="A591" t="s">
        <v>603</v>
      </c>
      <c r="B591" s="3">
        <v>52</v>
      </c>
      <c r="C591" s="2">
        <v>4700000</v>
      </c>
      <c r="D591" s="2">
        <v>38600000</v>
      </c>
      <c r="E591" t="s">
        <v>16</v>
      </c>
      <c r="F591" t="s">
        <v>10</v>
      </c>
      <c r="G591" t="s">
        <v>12</v>
      </c>
      <c r="H591" s="3">
        <v>0</v>
      </c>
    </row>
    <row r="592" spans="1:8" ht="20.100000000000001" customHeight="1">
      <c r="A592" t="s">
        <v>604</v>
      </c>
      <c r="B592" s="3">
        <v>53</v>
      </c>
      <c r="C592" s="2">
        <v>5400000</v>
      </c>
      <c r="D592" s="2">
        <v>57600000</v>
      </c>
      <c r="E592" t="s">
        <v>9</v>
      </c>
      <c r="F592" t="s">
        <v>10</v>
      </c>
      <c r="G592" t="s">
        <v>12</v>
      </c>
      <c r="H592" s="3">
        <v>0</v>
      </c>
    </row>
    <row r="593" spans="1:8" ht="20.100000000000001" customHeight="1">
      <c r="A593" t="s">
        <v>605</v>
      </c>
      <c r="B593" s="3">
        <v>36</v>
      </c>
      <c r="C593" s="2">
        <v>6100000</v>
      </c>
      <c r="D593" s="2">
        <v>43900000</v>
      </c>
      <c r="E593" t="s">
        <v>9</v>
      </c>
      <c r="F593" t="s">
        <v>10</v>
      </c>
      <c r="G593" t="s">
        <v>12</v>
      </c>
      <c r="H593" s="3">
        <v>0</v>
      </c>
    </row>
    <row r="594" spans="1:8" ht="20.100000000000001" customHeight="1">
      <c r="A594" t="s">
        <v>606</v>
      </c>
      <c r="B594" s="3">
        <v>43</v>
      </c>
      <c r="C594" s="2">
        <v>12300000</v>
      </c>
      <c r="D594" s="2">
        <v>16500000</v>
      </c>
      <c r="E594" t="s">
        <v>16</v>
      </c>
      <c r="F594" t="s">
        <v>12</v>
      </c>
      <c r="G594" t="s">
        <v>12</v>
      </c>
      <c r="H594" s="3">
        <v>0</v>
      </c>
    </row>
    <row r="595" spans="1:8" ht="20.100000000000001" customHeight="1">
      <c r="A595" t="s">
        <v>607</v>
      </c>
      <c r="B595" s="3">
        <v>31</v>
      </c>
      <c r="C595" s="2">
        <v>6200000</v>
      </c>
      <c r="D595" s="2">
        <v>5700000</v>
      </c>
      <c r="E595" t="s">
        <v>14</v>
      </c>
      <c r="F595" t="s">
        <v>12</v>
      </c>
      <c r="G595" t="s">
        <v>10</v>
      </c>
      <c r="H595" s="3">
        <v>0</v>
      </c>
    </row>
    <row r="596" spans="1:8" ht="20.100000000000001" customHeight="1">
      <c r="A596" t="s">
        <v>608</v>
      </c>
      <c r="B596" s="3">
        <v>50</v>
      </c>
      <c r="C596" s="2">
        <v>4900000</v>
      </c>
      <c r="D596" s="2">
        <v>11300000</v>
      </c>
      <c r="E596" t="s">
        <v>14</v>
      </c>
      <c r="F596" t="s">
        <v>12</v>
      </c>
      <c r="G596" t="s">
        <v>10</v>
      </c>
      <c r="H596" s="3">
        <v>1</v>
      </c>
    </row>
    <row r="597" spans="1:8" ht="20.100000000000001" customHeight="1">
      <c r="A597" t="s">
        <v>609</v>
      </c>
      <c r="B597" s="3">
        <v>25</v>
      </c>
      <c r="C597" s="2">
        <v>6300000</v>
      </c>
      <c r="D597" s="2">
        <v>9600000</v>
      </c>
      <c r="E597" t="s">
        <v>14</v>
      </c>
      <c r="F597" t="s">
        <v>10</v>
      </c>
      <c r="G597" t="s">
        <v>12</v>
      </c>
      <c r="H597" s="3">
        <v>0</v>
      </c>
    </row>
    <row r="598" spans="1:8" ht="20.100000000000001" customHeight="1">
      <c r="A598" t="s">
        <v>610</v>
      </c>
      <c r="B598" s="3">
        <v>60</v>
      </c>
      <c r="C598" s="2">
        <v>2000000</v>
      </c>
      <c r="D598" s="2">
        <v>6500000</v>
      </c>
      <c r="E598" t="s">
        <v>16</v>
      </c>
      <c r="F598" t="s">
        <v>10</v>
      </c>
      <c r="G598" t="s">
        <v>12</v>
      </c>
      <c r="H598" s="3">
        <v>0</v>
      </c>
    </row>
    <row r="599" spans="1:8" ht="20.100000000000001" customHeight="1">
      <c r="A599" t="s">
        <v>611</v>
      </c>
      <c r="B599" s="3">
        <v>28</v>
      </c>
      <c r="C599" s="2">
        <v>6000000</v>
      </c>
      <c r="D599" s="2">
        <v>25000000</v>
      </c>
      <c r="E599" t="s">
        <v>14</v>
      </c>
      <c r="F599" t="s">
        <v>10</v>
      </c>
      <c r="G599" t="s">
        <v>12</v>
      </c>
      <c r="H599" s="3">
        <v>0</v>
      </c>
    </row>
    <row r="600" spans="1:8" ht="20.100000000000001" customHeight="1">
      <c r="A600" t="s">
        <v>612</v>
      </c>
      <c r="B600" s="3">
        <v>33</v>
      </c>
      <c r="C600" s="2">
        <v>5400000</v>
      </c>
      <c r="D600" s="2">
        <v>36700000</v>
      </c>
      <c r="E600" t="s">
        <v>16</v>
      </c>
      <c r="F600" t="s">
        <v>10</v>
      </c>
      <c r="G600" t="s">
        <v>12</v>
      </c>
      <c r="H600" s="3">
        <v>0</v>
      </c>
    </row>
    <row r="601" spans="1:8" ht="20.100000000000001" customHeight="1">
      <c r="A601" t="s">
        <v>613</v>
      </c>
      <c r="B601" s="3">
        <v>42</v>
      </c>
      <c r="C601" s="2">
        <v>8700000</v>
      </c>
      <c r="D601" s="2">
        <v>18400000</v>
      </c>
      <c r="E601" t="s">
        <v>16</v>
      </c>
      <c r="F601" t="s">
        <v>12</v>
      </c>
      <c r="G601" t="s">
        <v>12</v>
      </c>
      <c r="H601" s="3">
        <v>1</v>
      </c>
    </row>
    <row r="602" spans="1:8" ht="20.100000000000001" customHeight="1">
      <c r="A602" t="s">
        <v>614</v>
      </c>
      <c r="B602" s="3">
        <v>47</v>
      </c>
      <c r="C602" s="2">
        <v>8500000</v>
      </c>
      <c r="D602" s="2">
        <v>10900000</v>
      </c>
      <c r="E602" t="s">
        <v>16</v>
      </c>
      <c r="F602" t="s">
        <v>10</v>
      </c>
      <c r="G602" t="s">
        <v>12</v>
      </c>
      <c r="H602" s="3">
        <v>0</v>
      </c>
    </row>
    <row r="603" spans="1:8" ht="20.100000000000001" customHeight="1">
      <c r="A603" t="s">
        <v>615</v>
      </c>
      <c r="B603" s="3">
        <v>23</v>
      </c>
      <c r="C603" s="2">
        <v>2100000</v>
      </c>
      <c r="D603" s="2">
        <v>7500000</v>
      </c>
      <c r="E603" t="s">
        <v>9</v>
      </c>
      <c r="F603" t="s">
        <v>12</v>
      </c>
      <c r="G603" t="s">
        <v>10</v>
      </c>
      <c r="H603" s="3">
        <v>0</v>
      </c>
    </row>
    <row r="604" spans="1:8" ht="20.100000000000001" customHeight="1">
      <c r="A604" t="s">
        <v>616</v>
      </c>
      <c r="B604" s="3">
        <v>39</v>
      </c>
      <c r="C604" s="2">
        <v>7800000</v>
      </c>
      <c r="D604" s="2">
        <v>26900000</v>
      </c>
      <c r="E604" t="s">
        <v>14</v>
      </c>
      <c r="F604" t="s">
        <v>12</v>
      </c>
      <c r="G604" t="s">
        <v>10</v>
      </c>
      <c r="H604" s="3">
        <v>1</v>
      </c>
    </row>
    <row r="605" spans="1:8" ht="20.100000000000001" customHeight="1">
      <c r="A605" t="s">
        <v>617</v>
      </c>
      <c r="B605" s="3">
        <v>42</v>
      </c>
      <c r="C605" s="2">
        <v>6300000</v>
      </c>
      <c r="D605" s="2">
        <v>29700000</v>
      </c>
      <c r="E605" t="s">
        <v>14</v>
      </c>
      <c r="F605" t="s">
        <v>12</v>
      </c>
      <c r="G605" t="s">
        <v>10</v>
      </c>
      <c r="H605" s="3">
        <v>0</v>
      </c>
    </row>
    <row r="606" spans="1:8" ht="20.100000000000001" customHeight="1">
      <c r="A606" t="s">
        <v>618</v>
      </c>
      <c r="B606" s="3">
        <v>49</v>
      </c>
      <c r="C606" s="2">
        <v>10700000</v>
      </c>
      <c r="D606" s="2">
        <v>66800000</v>
      </c>
      <c r="E606" t="s">
        <v>9</v>
      </c>
      <c r="F606" t="s">
        <v>10</v>
      </c>
      <c r="G606" t="s">
        <v>10</v>
      </c>
      <c r="H606" s="3">
        <v>1</v>
      </c>
    </row>
    <row r="607" spans="1:8" ht="20.100000000000001" customHeight="1">
      <c r="A607" t="s">
        <v>619</v>
      </c>
      <c r="B607" s="3">
        <v>56</v>
      </c>
      <c r="C607" s="2">
        <v>4600000</v>
      </c>
      <c r="D607" s="2">
        <v>10600000</v>
      </c>
      <c r="E607" t="s">
        <v>16</v>
      </c>
      <c r="F607" t="s">
        <v>12</v>
      </c>
      <c r="G607" t="s">
        <v>12</v>
      </c>
      <c r="H607" s="3">
        <v>0</v>
      </c>
    </row>
    <row r="608" spans="1:8" ht="20.100000000000001" customHeight="1">
      <c r="A608" t="s">
        <v>620</v>
      </c>
      <c r="B608" s="3">
        <v>39</v>
      </c>
      <c r="C608" s="2">
        <v>11000000</v>
      </c>
      <c r="D608" s="2">
        <v>77400000</v>
      </c>
      <c r="E608" t="s">
        <v>16</v>
      </c>
      <c r="F608" t="s">
        <v>10</v>
      </c>
      <c r="G608" t="s">
        <v>12</v>
      </c>
      <c r="H608" s="3">
        <v>0</v>
      </c>
    </row>
    <row r="609" spans="1:8" ht="20.100000000000001" customHeight="1">
      <c r="A609" t="s">
        <v>621</v>
      </c>
      <c r="B609" s="3">
        <v>30</v>
      </c>
      <c r="C609" s="2">
        <v>10700000</v>
      </c>
      <c r="D609" s="2">
        <v>41000000</v>
      </c>
      <c r="E609" t="s">
        <v>9</v>
      </c>
      <c r="F609" t="s">
        <v>10</v>
      </c>
      <c r="G609" t="s">
        <v>12</v>
      </c>
      <c r="H609" s="3">
        <v>0</v>
      </c>
    </row>
    <row r="610" spans="1:8" ht="20.100000000000001" customHeight="1">
      <c r="A610" t="s">
        <v>622</v>
      </c>
      <c r="B610" s="3">
        <v>42</v>
      </c>
      <c r="C610" s="2">
        <v>4800000</v>
      </c>
      <c r="D610" s="2">
        <v>28800000</v>
      </c>
      <c r="E610" t="s">
        <v>14</v>
      </c>
      <c r="F610" t="s">
        <v>10</v>
      </c>
      <c r="G610" t="s">
        <v>12</v>
      </c>
      <c r="H610" s="3">
        <v>0</v>
      </c>
    </row>
    <row r="611" spans="1:8" ht="20.100000000000001" customHeight="1">
      <c r="A611" t="s">
        <v>623</v>
      </c>
      <c r="B611" s="3">
        <v>21</v>
      </c>
      <c r="C611" s="2">
        <v>12700000</v>
      </c>
      <c r="D611" s="2">
        <v>34800000</v>
      </c>
      <c r="E611" t="s">
        <v>16</v>
      </c>
      <c r="F611" t="s">
        <v>12</v>
      </c>
      <c r="G611" t="s">
        <v>12</v>
      </c>
      <c r="H611" s="3">
        <v>1</v>
      </c>
    </row>
    <row r="612" spans="1:8" ht="20.100000000000001" customHeight="1">
      <c r="A612" t="s">
        <v>624</v>
      </c>
      <c r="B612" s="3">
        <v>55</v>
      </c>
      <c r="C612" s="2">
        <v>7300000</v>
      </c>
      <c r="D612" s="2">
        <v>30600000</v>
      </c>
      <c r="E612" t="s">
        <v>14</v>
      </c>
      <c r="F612" t="s">
        <v>10</v>
      </c>
      <c r="G612" t="s">
        <v>12</v>
      </c>
      <c r="H612" s="3">
        <v>0</v>
      </c>
    </row>
    <row r="613" spans="1:8" ht="20.100000000000001" customHeight="1">
      <c r="A613" t="s">
        <v>625</v>
      </c>
      <c r="B613" s="3">
        <v>28</v>
      </c>
      <c r="C613" s="2">
        <v>7600000</v>
      </c>
      <c r="D613" s="2">
        <v>21900000</v>
      </c>
      <c r="E613" t="s">
        <v>9</v>
      </c>
      <c r="F613" t="s">
        <v>12</v>
      </c>
      <c r="G613" t="s">
        <v>10</v>
      </c>
      <c r="H613" s="3">
        <v>0</v>
      </c>
    </row>
    <row r="614" spans="1:8" ht="20.100000000000001" customHeight="1">
      <c r="A614" t="s">
        <v>626</v>
      </c>
      <c r="B614" s="3">
        <v>27</v>
      </c>
      <c r="C614" s="2">
        <v>11700000</v>
      </c>
      <c r="D614" s="2">
        <v>54800000</v>
      </c>
      <c r="E614" t="s">
        <v>9</v>
      </c>
      <c r="F614" t="s">
        <v>10</v>
      </c>
      <c r="G614" t="s">
        <v>12</v>
      </c>
      <c r="H614" s="3">
        <v>0</v>
      </c>
    </row>
    <row r="615" spans="1:8" ht="20.100000000000001" customHeight="1">
      <c r="A615" t="s">
        <v>627</v>
      </c>
      <c r="B615" s="3">
        <v>34</v>
      </c>
      <c r="C615" s="2">
        <v>7500000</v>
      </c>
      <c r="D615" s="2">
        <v>12900000</v>
      </c>
      <c r="E615" t="s">
        <v>9</v>
      </c>
      <c r="F615" t="s">
        <v>12</v>
      </c>
      <c r="G615" t="s">
        <v>12</v>
      </c>
      <c r="H615" s="3">
        <v>0</v>
      </c>
    </row>
    <row r="616" spans="1:8" ht="20.100000000000001" customHeight="1">
      <c r="A616" t="s">
        <v>628</v>
      </c>
      <c r="B616" s="3">
        <v>40</v>
      </c>
      <c r="C616" s="2">
        <v>5700000</v>
      </c>
      <c r="D616" s="2">
        <v>16000000</v>
      </c>
      <c r="E616" t="s">
        <v>9</v>
      </c>
      <c r="F616" t="s">
        <v>10</v>
      </c>
      <c r="G616" t="s">
        <v>12</v>
      </c>
      <c r="H616" s="3">
        <v>0</v>
      </c>
    </row>
    <row r="617" spans="1:8" ht="20.100000000000001" customHeight="1">
      <c r="A617" t="s">
        <v>629</v>
      </c>
      <c r="B617" s="3">
        <v>21</v>
      </c>
      <c r="C617" s="2">
        <v>6000000</v>
      </c>
      <c r="D617" s="2">
        <v>34600000</v>
      </c>
      <c r="E617" t="s">
        <v>16</v>
      </c>
      <c r="F617" t="s">
        <v>10</v>
      </c>
      <c r="G617" t="s">
        <v>12</v>
      </c>
      <c r="H617" s="3">
        <v>1</v>
      </c>
    </row>
    <row r="618" spans="1:8" ht="20.100000000000001" customHeight="1">
      <c r="A618" t="s">
        <v>630</v>
      </c>
      <c r="B618" s="3">
        <v>38</v>
      </c>
      <c r="C618" s="2">
        <v>6200000</v>
      </c>
      <c r="D618" s="2">
        <v>43500000</v>
      </c>
      <c r="E618" t="s">
        <v>16</v>
      </c>
      <c r="F618" t="s">
        <v>12</v>
      </c>
      <c r="G618" t="s">
        <v>10</v>
      </c>
      <c r="H618" s="3">
        <v>1</v>
      </c>
    </row>
    <row r="619" spans="1:8" ht="20.100000000000001" customHeight="1">
      <c r="A619" t="s">
        <v>631</v>
      </c>
      <c r="B619" s="3">
        <v>28</v>
      </c>
      <c r="C619" s="2">
        <v>7800000</v>
      </c>
      <c r="D619" s="2">
        <v>10200000</v>
      </c>
      <c r="E619" t="s">
        <v>16</v>
      </c>
      <c r="F619" t="s">
        <v>12</v>
      </c>
      <c r="G619" t="s">
        <v>12</v>
      </c>
      <c r="H619" s="3">
        <v>0</v>
      </c>
    </row>
    <row r="620" spans="1:8" ht="20.100000000000001" customHeight="1">
      <c r="A620" t="s">
        <v>632</v>
      </c>
      <c r="B620" s="3">
        <v>38</v>
      </c>
      <c r="C620" s="2">
        <v>4700000</v>
      </c>
      <c r="D620" s="2">
        <v>41500000</v>
      </c>
      <c r="E620" t="s">
        <v>9</v>
      </c>
      <c r="F620" t="s">
        <v>10</v>
      </c>
      <c r="G620" t="s">
        <v>12</v>
      </c>
      <c r="H620" s="3">
        <v>0</v>
      </c>
    </row>
    <row r="621" spans="1:8" ht="20.100000000000001" customHeight="1">
      <c r="A621" t="s">
        <v>633</v>
      </c>
      <c r="B621" s="3">
        <v>58</v>
      </c>
      <c r="C621" s="2">
        <v>7700000</v>
      </c>
      <c r="D621" s="2">
        <v>36900000</v>
      </c>
      <c r="E621" t="s">
        <v>14</v>
      </c>
      <c r="F621" t="s">
        <v>10</v>
      </c>
      <c r="G621" t="s">
        <v>10</v>
      </c>
      <c r="H621" s="3">
        <v>0</v>
      </c>
    </row>
    <row r="622" spans="1:8" ht="20.100000000000001" customHeight="1">
      <c r="A622" t="s">
        <v>634</v>
      </c>
      <c r="B622" s="3">
        <v>27</v>
      </c>
      <c r="C622" s="2">
        <v>3500000</v>
      </c>
      <c r="D622" s="2">
        <v>7200000</v>
      </c>
      <c r="E622" t="s">
        <v>9</v>
      </c>
      <c r="F622" t="s">
        <v>12</v>
      </c>
      <c r="G622" t="s">
        <v>12</v>
      </c>
      <c r="H622" s="3">
        <v>0</v>
      </c>
    </row>
    <row r="623" spans="1:8" ht="20.100000000000001" customHeight="1">
      <c r="A623" t="s">
        <v>635</v>
      </c>
      <c r="B623" s="3">
        <v>47</v>
      </c>
      <c r="C623" s="2">
        <v>3300000</v>
      </c>
      <c r="D623" s="2">
        <v>6000000</v>
      </c>
      <c r="E623" t="s">
        <v>16</v>
      </c>
      <c r="F623" t="s">
        <v>12</v>
      </c>
      <c r="G623" t="s">
        <v>10</v>
      </c>
      <c r="H623" s="3">
        <v>0</v>
      </c>
    </row>
    <row r="624" spans="1:8" ht="20.100000000000001" customHeight="1">
      <c r="A624" t="s">
        <v>636</v>
      </c>
      <c r="B624" s="3">
        <v>35</v>
      </c>
      <c r="C624" s="2">
        <v>6000000</v>
      </c>
      <c r="D624" s="2">
        <v>4200000</v>
      </c>
      <c r="E624" t="s">
        <v>14</v>
      </c>
      <c r="F624" t="s">
        <v>10</v>
      </c>
      <c r="G624" t="s">
        <v>12</v>
      </c>
      <c r="H624" s="3">
        <v>0</v>
      </c>
    </row>
    <row r="625" spans="1:8" ht="20.100000000000001" customHeight="1">
      <c r="A625" t="s">
        <v>637</v>
      </c>
      <c r="B625" s="3">
        <v>45</v>
      </c>
      <c r="C625" s="2">
        <v>4200000</v>
      </c>
      <c r="D625" s="2">
        <v>20500000</v>
      </c>
      <c r="E625" t="s">
        <v>9</v>
      </c>
      <c r="F625" t="s">
        <v>10</v>
      </c>
      <c r="G625" t="s">
        <v>10</v>
      </c>
      <c r="H625" s="3">
        <v>0</v>
      </c>
    </row>
    <row r="626" spans="1:8" ht="20.100000000000001" customHeight="1">
      <c r="A626" t="s">
        <v>638</v>
      </c>
      <c r="B626" s="3">
        <v>42</v>
      </c>
      <c r="C626" s="2">
        <v>11500000</v>
      </c>
      <c r="D626" s="2">
        <v>46200000</v>
      </c>
      <c r="E626" t="s">
        <v>16</v>
      </c>
      <c r="F626" t="s">
        <v>10</v>
      </c>
      <c r="G626" t="s">
        <v>10</v>
      </c>
      <c r="H626" s="3">
        <v>1</v>
      </c>
    </row>
    <row r="627" spans="1:8" ht="20.100000000000001" customHeight="1">
      <c r="A627" t="s">
        <v>639</v>
      </c>
      <c r="B627" s="3">
        <v>36</v>
      </c>
      <c r="C627" s="2">
        <v>6900000</v>
      </c>
      <c r="D627" s="2">
        <v>26500000</v>
      </c>
      <c r="E627" t="s">
        <v>16</v>
      </c>
      <c r="F627" t="s">
        <v>12</v>
      </c>
      <c r="G627" t="s">
        <v>12</v>
      </c>
      <c r="H627" s="3">
        <v>1</v>
      </c>
    </row>
    <row r="628" spans="1:8" ht="20.100000000000001" customHeight="1">
      <c r="A628" t="s">
        <v>640</v>
      </c>
      <c r="B628" s="3">
        <v>61</v>
      </c>
      <c r="C628" s="2">
        <v>3500000</v>
      </c>
      <c r="D628" s="2">
        <v>32900000</v>
      </c>
      <c r="E628" t="s">
        <v>31</v>
      </c>
      <c r="F628" t="s">
        <v>10</v>
      </c>
      <c r="G628" t="s">
        <v>10</v>
      </c>
      <c r="H628" s="3">
        <v>0</v>
      </c>
    </row>
    <row r="629" spans="1:8" ht="20.100000000000001" customHeight="1">
      <c r="A629" t="s">
        <v>641</v>
      </c>
      <c r="B629" s="3">
        <v>41</v>
      </c>
      <c r="C629" s="2">
        <v>8400000</v>
      </c>
      <c r="D629" s="2">
        <v>5900000</v>
      </c>
      <c r="E629" t="s">
        <v>16</v>
      </c>
      <c r="F629" t="s">
        <v>10</v>
      </c>
      <c r="G629" t="s">
        <v>12</v>
      </c>
      <c r="H629" s="3">
        <v>0</v>
      </c>
    </row>
    <row r="630" spans="1:8" ht="20.100000000000001" customHeight="1">
      <c r="A630" t="s">
        <v>642</v>
      </c>
      <c r="B630" s="3">
        <v>27</v>
      </c>
      <c r="C630" s="2">
        <v>7300000</v>
      </c>
      <c r="D630" s="2">
        <v>16300000</v>
      </c>
      <c r="E630" t="s">
        <v>14</v>
      </c>
      <c r="F630" t="s">
        <v>10</v>
      </c>
      <c r="G630" t="s">
        <v>12</v>
      </c>
      <c r="H630" s="3">
        <v>0</v>
      </c>
    </row>
    <row r="631" spans="1:8" ht="20.100000000000001" customHeight="1">
      <c r="A631" t="s">
        <v>643</v>
      </c>
      <c r="B631" s="3">
        <v>30</v>
      </c>
      <c r="C631" s="2">
        <v>8700000</v>
      </c>
      <c r="D631" s="2">
        <v>12200000</v>
      </c>
      <c r="E631" t="s">
        <v>9</v>
      </c>
      <c r="F631" t="s">
        <v>12</v>
      </c>
      <c r="G631" t="s">
        <v>12</v>
      </c>
      <c r="H631" s="3">
        <v>0</v>
      </c>
    </row>
    <row r="632" spans="1:8" ht="20.100000000000001" customHeight="1">
      <c r="A632" t="s">
        <v>644</v>
      </c>
      <c r="B632" s="3">
        <v>59</v>
      </c>
      <c r="C632" s="2">
        <v>4500000</v>
      </c>
      <c r="D632" s="2">
        <v>20700000</v>
      </c>
      <c r="E632" t="s">
        <v>31</v>
      </c>
      <c r="F632" t="s">
        <v>12</v>
      </c>
      <c r="G632" t="s">
        <v>10</v>
      </c>
      <c r="H632" s="3">
        <v>0</v>
      </c>
    </row>
    <row r="633" spans="1:8" ht="20.100000000000001" customHeight="1">
      <c r="A633" t="s">
        <v>645</v>
      </c>
      <c r="B633" s="3">
        <v>27</v>
      </c>
      <c r="C633" s="2">
        <v>3500000</v>
      </c>
      <c r="D633" s="2">
        <v>7100000</v>
      </c>
      <c r="E633" t="s">
        <v>9</v>
      </c>
      <c r="F633" t="s">
        <v>10</v>
      </c>
      <c r="G633" t="s">
        <v>12</v>
      </c>
      <c r="H633" s="3">
        <v>0</v>
      </c>
    </row>
    <row r="634" spans="1:8" ht="20.100000000000001" customHeight="1">
      <c r="A634" t="s">
        <v>646</v>
      </c>
      <c r="B634" s="3">
        <v>49</v>
      </c>
      <c r="C634" s="2">
        <v>3600000</v>
      </c>
      <c r="D634" s="2">
        <v>5000000</v>
      </c>
      <c r="E634" t="s">
        <v>16</v>
      </c>
      <c r="F634" t="s">
        <v>12</v>
      </c>
      <c r="G634" t="s">
        <v>12</v>
      </c>
      <c r="H634" s="3">
        <v>0</v>
      </c>
    </row>
    <row r="635" spans="1:8" ht="20.100000000000001" customHeight="1">
      <c r="A635" t="s">
        <v>647</v>
      </c>
      <c r="B635" s="3">
        <v>33</v>
      </c>
      <c r="C635" s="2">
        <v>5400000</v>
      </c>
      <c r="D635" s="2">
        <v>14100000</v>
      </c>
      <c r="E635" t="s">
        <v>9</v>
      </c>
      <c r="F635" t="s">
        <v>12</v>
      </c>
      <c r="G635" t="s">
        <v>12</v>
      </c>
      <c r="H635" s="3">
        <v>0</v>
      </c>
    </row>
    <row r="636" spans="1:8" ht="20.100000000000001" customHeight="1">
      <c r="A636" t="s">
        <v>648</v>
      </c>
      <c r="B636" s="3">
        <v>44</v>
      </c>
      <c r="C636" s="2">
        <v>14900000</v>
      </c>
      <c r="D636" s="2">
        <v>142200000</v>
      </c>
      <c r="E636" t="s">
        <v>16</v>
      </c>
      <c r="F636" t="s">
        <v>12</v>
      </c>
      <c r="G636" t="s">
        <v>10</v>
      </c>
      <c r="H636" s="3">
        <v>1</v>
      </c>
    </row>
    <row r="637" spans="1:8" ht="20.100000000000001" customHeight="1">
      <c r="A637" t="s">
        <v>649</v>
      </c>
      <c r="B637" s="3">
        <v>29</v>
      </c>
      <c r="C637" s="2">
        <v>8800000</v>
      </c>
      <c r="D637" s="2">
        <v>26200000</v>
      </c>
      <c r="E637" t="s">
        <v>16</v>
      </c>
      <c r="F637" t="s">
        <v>10</v>
      </c>
      <c r="G637" t="s">
        <v>12</v>
      </c>
      <c r="H637" s="3">
        <v>0</v>
      </c>
    </row>
    <row r="638" spans="1:8" ht="20.100000000000001" customHeight="1">
      <c r="A638" t="s">
        <v>650</v>
      </c>
      <c r="B638" s="3">
        <v>40</v>
      </c>
      <c r="C638" s="2">
        <v>5800000</v>
      </c>
      <c r="D638" s="2">
        <v>7300000</v>
      </c>
      <c r="E638" t="s">
        <v>14</v>
      </c>
      <c r="F638" t="s">
        <v>10</v>
      </c>
      <c r="G638" t="s">
        <v>10</v>
      </c>
      <c r="H638" s="3">
        <v>1</v>
      </c>
    </row>
    <row r="639" spans="1:8" ht="20.100000000000001" customHeight="1">
      <c r="A639" t="s">
        <v>651</v>
      </c>
      <c r="B639" s="3">
        <v>52</v>
      </c>
      <c r="C639" s="2">
        <v>5700000</v>
      </c>
      <c r="D639" s="2">
        <v>8200000</v>
      </c>
      <c r="E639" t="s">
        <v>9</v>
      </c>
      <c r="F639" t="s">
        <v>12</v>
      </c>
      <c r="G639" t="s">
        <v>12</v>
      </c>
      <c r="H639" s="3">
        <v>0</v>
      </c>
    </row>
    <row r="640" spans="1:8" ht="20.100000000000001" customHeight="1">
      <c r="A640" t="s">
        <v>652</v>
      </c>
      <c r="B640" s="3">
        <v>37</v>
      </c>
      <c r="C640" s="2">
        <v>11400000</v>
      </c>
      <c r="D640" s="2">
        <v>155000000</v>
      </c>
      <c r="E640" t="s">
        <v>16</v>
      </c>
      <c r="F640" t="s">
        <v>12</v>
      </c>
      <c r="G640" t="s">
        <v>10</v>
      </c>
      <c r="H640" s="3">
        <v>1</v>
      </c>
    </row>
    <row r="641" spans="1:8" ht="20.100000000000001" customHeight="1">
      <c r="A641" t="s">
        <v>653</v>
      </c>
      <c r="B641" s="3">
        <v>36</v>
      </c>
      <c r="C641" s="2">
        <v>6500000</v>
      </c>
      <c r="D641" s="2">
        <v>15400000</v>
      </c>
      <c r="E641" t="s">
        <v>9</v>
      </c>
      <c r="F641" t="s">
        <v>12</v>
      </c>
      <c r="G641" t="s">
        <v>12</v>
      </c>
      <c r="H641" s="3">
        <v>0</v>
      </c>
    </row>
    <row r="642" spans="1:8" ht="20.100000000000001" customHeight="1">
      <c r="A642" t="s">
        <v>654</v>
      </c>
      <c r="B642" s="3">
        <v>29</v>
      </c>
      <c r="C642" s="2">
        <v>4600000</v>
      </c>
      <c r="D642" s="2">
        <v>24400000</v>
      </c>
      <c r="E642" t="s">
        <v>9</v>
      </c>
      <c r="F642" t="s">
        <v>10</v>
      </c>
      <c r="G642" t="s">
        <v>12</v>
      </c>
      <c r="H642" s="3">
        <v>0</v>
      </c>
    </row>
    <row r="643" spans="1:8" ht="20.100000000000001" customHeight="1">
      <c r="A643" t="s">
        <v>655</v>
      </c>
      <c r="B643" s="3">
        <v>52</v>
      </c>
      <c r="C643" s="2">
        <v>5500000</v>
      </c>
      <c r="D643" s="2">
        <v>9400000</v>
      </c>
      <c r="E643" t="s">
        <v>16</v>
      </c>
      <c r="F643" t="s">
        <v>12</v>
      </c>
      <c r="G643" t="s">
        <v>10</v>
      </c>
      <c r="H643" s="3">
        <v>0</v>
      </c>
    </row>
    <row r="644" spans="1:8" ht="20.100000000000001" customHeight="1">
      <c r="A644" t="s">
        <v>656</v>
      </c>
      <c r="B644" s="3">
        <v>31</v>
      </c>
      <c r="C644" s="2">
        <v>6700000</v>
      </c>
      <c r="D644" s="2">
        <v>20900000</v>
      </c>
      <c r="E644" t="s">
        <v>14</v>
      </c>
      <c r="F644" t="s">
        <v>12</v>
      </c>
      <c r="G644" t="s">
        <v>12</v>
      </c>
      <c r="H644" s="3">
        <v>0</v>
      </c>
    </row>
    <row r="645" spans="1:8" ht="20.100000000000001" customHeight="1">
      <c r="A645" t="s">
        <v>657</v>
      </c>
      <c r="B645" s="3">
        <v>39</v>
      </c>
      <c r="C645" s="2">
        <v>7400000</v>
      </c>
      <c r="D645" s="2">
        <v>23500000</v>
      </c>
      <c r="E645" t="s">
        <v>9</v>
      </c>
      <c r="F645" t="s">
        <v>12</v>
      </c>
      <c r="G645" t="s">
        <v>12</v>
      </c>
      <c r="H645" s="3">
        <v>0</v>
      </c>
    </row>
    <row r="646" spans="1:8" ht="20.100000000000001" customHeight="1">
      <c r="A646" t="s">
        <v>658</v>
      </c>
      <c r="B646" s="3">
        <v>38</v>
      </c>
      <c r="C646" s="2">
        <v>11100000</v>
      </c>
      <c r="D646" s="2">
        <v>73200000</v>
      </c>
      <c r="E646" t="s">
        <v>16</v>
      </c>
      <c r="F646" t="s">
        <v>12</v>
      </c>
      <c r="G646" t="s">
        <v>10</v>
      </c>
      <c r="H646" s="3">
        <v>1</v>
      </c>
    </row>
    <row r="647" spans="1:8" ht="20.100000000000001" customHeight="1">
      <c r="A647" t="s">
        <v>659</v>
      </c>
      <c r="B647" s="3">
        <v>31</v>
      </c>
      <c r="C647" s="2">
        <v>2300000</v>
      </c>
      <c r="D647" s="2">
        <v>12800000</v>
      </c>
      <c r="E647" t="s">
        <v>9</v>
      </c>
      <c r="F647" t="s">
        <v>12</v>
      </c>
      <c r="G647" t="s">
        <v>10</v>
      </c>
      <c r="H647" s="3">
        <v>1</v>
      </c>
    </row>
    <row r="648" spans="1:8" ht="20.100000000000001" customHeight="1">
      <c r="A648" t="s">
        <v>660</v>
      </c>
      <c r="B648" s="3">
        <v>22</v>
      </c>
      <c r="C648" s="2">
        <v>3300000</v>
      </c>
      <c r="D648" s="2">
        <v>6500000</v>
      </c>
      <c r="E648" t="s">
        <v>16</v>
      </c>
      <c r="F648" t="s">
        <v>12</v>
      </c>
      <c r="G648" t="s">
        <v>10</v>
      </c>
      <c r="H648" s="3">
        <v>0</v>
      </c>
    </row>
    <row r="649" spans="1:8" ht="20.100000000000001" customHeight="1">
      <c r="A649" t="s">
        <v>661</v>
      </c>
      <c r="B649" s="3">
        <v>41</v>
      </c>
      <c r="C649" s="2">
        <v>5700000</v>
      </c>
      <c r="D649" s="2">
        <v>20600000</v>
      </c>
      <c r="E649" t="s">
        <v>9</v>
      </c>
      <c r="F649" t="s">
        <v>10</v>
      </c>
      <c r="G649" t="s">
        <v>10</v>
      </c>
      <c r="H649" s="3">
        <v>0</v>
      </c>
    </row>
    <row r="650" spans="1:8" ht="20.100000000000001" customHeight="1">
      <c r="A650" t="s">
        <v>662</v>
      </c>
      <c r="B650" s="3">
        <v>43</v>
      </c>
      <c r="C650" s="2">
        <v>8200000</v>
      </c>
      <c r="D650" s="2">
        <v>80900000</v>
      </c>
      <c r="E650" t="s">
        <v>14</v>
      </c>
      <c r="F650" t="s">
        <v>12</v>
      </c>
      <c r="G650" t="s">
        <v>12</v>
      </c>
      <c r="H650" s="3">
        <v>0</v>
      </c>
    </row>
    <row r="651" spans="1:8" ht="20.100000000000001" customHeight="1">
      <c r="A651" t="s">
        <v>663</v>
      </c>
      <c r="B651" s="3">
        <v>21</v>
      </c>
      <c r="C651" s="2">
        <v>4800000</v>
      </c>
      <c r="D651" s="2">
        <v>13800000</v>
      </c>
      <c r="E651" t="s">
        <v>9</v>
      </c>
      <c r="F651" t="s">
        <v>12</v>
      </c>
      <c r="G651" t="s">
        <v>10</v>
      </c>
      <c r="H651" s="3">
        <v>0</v>
      </c>
    </row>
    <row r="652" spans="1:8" ht="20.100000000000001" customHeight="1">
      <c r="A652" t="s">
        <v>664</v>
      </c>
      <c r="B652" s="3">
        <v>45</v>
      </c>
      <c r="C652" s="2">
        <v>7800000</v>
      </c>
      <c r="D652" s="2">
        <v>29400000</v>
      </c>
      <c r="E652" t="s">
        <v>9</v>
      </c>
      <c r="F652" t="s">
        <v>12</v>
      </c>
      <c r="G652" t="s">
        <v>12</v>
      </c>
      <c r="H652" s="3">
        <v>0</v>
      </c>
    </row>
    <row r="653" spans="1:8" ht="20.100000000000001" customHeight="1">
      <c r="A653" t="s">
        <v>665</v>
      </c>
      <c r="B653" s="3">
        <v>39</v>
      </c>
      <c r="C653" s="2">
        <v>8700000</v>
      </c>
      <c r="D653" s="2">
        <v>48300000</v>
      </c>
      <c r="E653" t="s">
        <v>9</v>
      </c>
      <c r="F653" t="s">
        <v>12</v>
      </c>
      <c r="G653" t="s">
        <v>10</v>
      </c>
      <c r="H653" s="3">
        <v>1</v>
      </c>
    </row>
    <row r="654" spans="1:8" ht="20.100000000000001" customHeight="1">
      <c r="A654" t="s">
        <v>666</v>
      </c>
      <c r="B654" s="3">
        <v>21</v>
      </c>
      <c r="C654" s="2">
        <v>5800000</v>
      </c>
      <c r="D654" s="2">
        <v>14900000</v>
      </c>
      <c r="E654" t="s">
        <v>9</v>
      </c>
      <c r="F654" t="s">
        <v>12</v>
      </c>
      <c r="G654" t="s">
        <v>12</v>
      </c>
      <c r="H654" s="3">
        <v>0</v>
      </c>
    </row>
    <row r="655" spans="1:8" ht="20.100000000000001" customHeight="1">
      <c r="A655" t="s">
        <v>667</v>
      </c>
      <c r="B655" s="3">
        <v>36</v>
      </c>
      <c r="C655" s="2">
        <v>5900000</v>
      </c>
      <c r="D655" s="2">
        <v>17500000</v>
      </c>
      <c r="E655" t="s">
        <v>16</v>
      </c>
      <c r="F655" t="s">
        <v>10</v>
      </c>
      <c r="G655" t="s">
        <v>12</v>
      </c>
      <c r="H655" s="3">
        <v>0</v>
      </c>
    </row>
    <row r="656" spans="1:8" ht="20.100000000000001" customHeight="1">
      <c r="A656" t="s">
        <v>668</v>
      </c>
      <c r="B656" s="3">
        <v>29</v>
      </c>
      <c r="C656" s="2">
        <v>9000000</v>
      </c>
      <c r="D656" s="2">
        <v>40500000</v>
      </c>
      <c r="E656" t="s">
        <v>14</v>
      </c>
      <c r="F656" t="s">
        <v>12</v>
      </c>
      <c r="G656" t="s">
        <v>12</v>
      </c>
      <c r="H656" s="3">
        <v>0</v>
      </c>
    </row>
    <row r="657" spans="1:8" ht="20.100000000000001" customHeight="1">
      <c r="A657" t="s">
        <v>669</v>
      </c>
      <c r="B657" s="3">
        <v>40</v>
      </c>
      <c r="C657" s="2">
        <v>7900000</v>
      </c>
      <c r="D657" s="2">
        <v>32600000</v>
      </c>
      <c r="E657" t="s">
        <v>14</v>
      </c>
      <c r="F657" t="s">
        <v>12</v>
      </c>
      <c r="G657" t="s">
        <v>12</v>
      </c>
      <c r="H657" s="3">
        <v>1</v>
      </c>
    </row>
    <row r="658" spans="1:8" ht="20.100000000000001" customHeight="1">
      <c r="A658" t="s">
        <v>670</v>
      </c>
      <c r="B658" s="3">
        <v>26</v>
      </c>
      <c r="C658" s="2">
        <v>7100000</v>
      </c>
      <c r="D658" s="2">
        <v>4800000</v>
      </c>
      <c r="E658" t="s">
        <v>14</v>
      </c>
      <c r="F658" t="s">
        <v>10</v>
      </c>
      <c r="G658" t="s">
        <v>10</v>
      </c>
      <c r="H658" s="3">
        <v>0</v>
      </c>
    </row>
    <row r="659" spans="1:8" ht="20.100000000000001" customHeight="1">
      <c r="A659" t="s">
        <v>671</v>
      </c>
      <c r="B659" s="3">
        <v>33</v>
      </c>
      <c r="C659" s="2">
        <v>5500000</v>
      </c>
      <c r="D659" s="2">
        <v>42100000</v>
      </c>
      <c r="E659" t="s">
        <v>9</v>
      </c>
      <c r="F659" t="s">
        <v>12</v>
      </c>
      <c r="G659" t="s">
        <v>10</v>
      </c>
      <c r="H659" s="3">
        <v>0</v>
      </c>
    </row>
    <row r="660" spans="1:8" ht="20.100000000000001" customHeight="1">
      <c r="A660" t="s">
        <v>672</v>
      </c>
      <c r="B660" s="3">
        <v>54</v>
      </c>
      <c r="C660" s="2">
        <v>4800000</v>
      </c>
      <c r="D660" s="2">
        <v>16500000</v>
      </c>
      <c r="E660" t="s">
        <v>9</v>
      </c>
      <c r="F660" t="s">
        <v>12</v>
      </c>
      <c r="G660" t="s">
        <v>12</v>
      </c>
      <c r="H660" s="3">
        <v>0</v>
      </c>
    </row>
    <row r="661" spans="1:8" ht="20.100000000000001" customHeight="1">
      <c r="A661" t="s">
        <v>673</v>
      </c>
      <c r="B661" s="3">
        <v>49</v>
      </c>
      <c r="C661" s="2">
        <v>6700000</v>
      </c>
      <c r="D661" s="2">
        <v>32800000</v>
      </c>
      <c r="E661" t="s">
        <v>9</v>
      </c>
      <c r="F661" t="s">
        <v>10</v>
      </c>
      <c r="G661" t="s">
        <v>10</v>
      </c>
      <c r="H661" s="3">
        <v>0</v>
      </c>
    </row>
    <row r="662" spans="1:8" ht="20.100000000000001" customHeight="1">
      <c r="A662" t="s">
        <v>674</v>
      </c>
      <c r="B662" s="3">
        <v>21</v>
      </c>
      <c r="C662" s="2">
        <v>1900000</v>
      </c>
      <c r="D662" s="2">
        <v>6100000</v>
      </c>
      <c r="E662" t="s">
        <v>16</v>
      </c>
      <c r="F662" t="s">
        <v>10</v>
      </c>
      <c r="G662" t="s">
        <v>12</v>
      </c>
      <c r="H662" s="3">
        <v>0</v>
      </c>
    </row>
    <row r="663" spans="1:8" ht="20.100000000000001" customHeight="1">
      <c r="A663" t="s">
        <v>675</v>
      </c>
      <c r="B663" s="3">
        <v>30</v>
      </c>
      <c r="C663" s="2">
        <v>5200000</v>
      </c>
      <c r="D663" s="2">
        <v>22900000</v>
      </c>
      <c r="E663" t="s">
        <v>9</v>
      </c>
      <c r="F663" t="s">
        <v>12</v>
      </c>
      <c r="G663" t="s">
        <v>12</v>
      </c>
      <c r="H663" s="3">
        <v>0</v>
      </c>
    </row>
    <row r="664" spans="1:8" ht="20.100000000000001" customHeight="1">
      <c r="A664" t="s">
        <v>676</v>
      </c>
      <c r="B664" s="3">
        <v>38</v>
      </c>
      <c r="C664" s="2">
        <v>21000000</v>
      </c>
      <c r="D664" s="2">
        <v>129100000</v>
      </c>
      <c r="E664" t="s">
        <v>16</v>
      </c>
      <c r="F664" t="s">
        <v>12</v>
      </c>
      <c r="G664" t="s">
        <v>12</v>
      </c>
      <c r="H664" s="3">
        <v>0</v>
      </c>
    </row>
    <row r="665" spans="1:8" ht="20.100000000000001" customHeight="1">
      <c r="A665" t="s">
        <v>677</v>
      </c>
      <c r="B665" s="3">
        <v>53</v>
      </c>
      <c r="C665" s="2">
        <v>7500000</v>
      </c>
      <c r="D665" s="2">
        <v>15600000</v>
      </c>
      <c r="E665" t="s">
        <v>14</v>
      </c>
      <c r="F665" t="s">
        <v>10</v>
      </c>
      <c r="G665" t="s">
        <v>10</v>
      </c>
      <c r="H665" s="3">
        <v>1</v>
      </c>
    </row>
    <row r="666" spans="1:8" ht="20.100000000000001" customHeight="1">
      <c r="A666" t="s">
        <v>678</v>
      </c>
      <c r="B666" s="3">
        <v>38</v>
      </c>
      <c r="C666" s="2">
        <v>4500000</v>
      </c>
      <c r="D666" s="2">
        <v>54500000</v>
      </c>
      <c r="E666" t="s">
        <v>16</v>
      </c>
      <c r="F666" t="s">
        <v>12</v>
      </c>
      <c r="G666" t="s">
        <v>10</v>
      </c>
      <c r="H666" s="3">
        <v>0</v>
      </c>
    </row>
    <row r="667" spans="1:8" ht="20.100000000000001" customHeight="1">
      <c r="A667" t="s">
        <v>679</v>
      </c>
      <c r="B667" s="3">
        <v>34</v>
      </c>
      <c r="C667" s="2">
        <v>4100000</v>
      </c>
      <c r="D667" s="2">
        <v>24100000</v>
      </c>
      <c r="E667" t="s">
        <v>16</v>
      </c>
      <c r="F667" t="s">
        <v>10</v>
      </c>
      <c r="G667" t="s">
        <v>12</v>
      </c>
      <c r="H667" s="3">
        <v>0</v>
      </c>
    </row>
    <row r="668" spans="1:8" ht="20.100000000000001" customHeight="1">
      <c r="A668" t="s">
        <v>680</v>
      </c>
      <c r="B668" s="3">
        <v>51</v>
      </c>
      <c r="C668" s="2">
        <v>3400000</v>
      </c>
      <c r="D668" s="2">
        <v>65700000</v>
      </c>
      <c r="E668" t="s">
        <v>16</v>
      </c>
      <c r="F668" t="s">
        <v>12</v>
      </c>
      <c r="G668" t="s">
        <v>12</v>
      </c>
      <c r="H668" s="3">
        <v>0</v>
      </c>
    </row>
    <row r="669" spans="1:8" ht="20.100000000000001" customHeight="1">
      <c r="A669" t="s">
        <v>681</v>
      </c>
      <c r="B669" s="3">
        <v>48</v>
      </c>
      <c r="C669" s="2">
        <v>5000000</v>
      </c>
      <c r="D669" s="2">
        <v>25600000</v>
      </c>
      <c r="E669" t="s">
        <v>9</v>
      </c>
      <c r="F669" t="s">
        <v>12</v>
      </c>
      <c r="G669" t="s">
        <v>10</v>
      </c>
      <c r="H669" s="3">
        <v>1</v>
      </c>
    </row>
    <row r="670" spans="1:8" ht="20.100000000000001" customHeight="1">
      <c r="A670" t="s">
        <v>682</v>
      </c>
      <c r="B670" s="3">
        <v>48</v>
      </c>
      <c r="C670" s="2">
        <v>5100000</v>
      </c>
      <c r="D670" s="2">
        <v>52700000</v>
      </c>
      <c r="E670" t="s">
        <v>9</v>
      </c>
      <c r="F670" t="s">
        <v>12</v>
      </c>
      <c r="G670" t="s">
        <v>12</v>
      </c>
      <c r="H670" s="3">
        <v>1</v>
      </c>
    </row>
    <row r="671" spans="1:8" ht="20.100000000000001" customHeight="1">
      <c r="A671" t="s">
        <v>683</v>
      </c>
      <c r="B671" s="3">
        <v>25</v>
      </c>
      <c r="C671" s="2">
        <v>5700000</v>
      </c>
      <c r="D671" s="2">
        <v>99300000</v>
      </c>
      <c r="E671" t="s">
        <v>9</v>
      </c>
      <c r="F671" t="s">
        <v>12</v>
      </c>
      <c r="G671" t="s">
        <v>12</v>
      </c>
      <c r="H671" s="3">
        <v>1</v>
      </c>
    </row>
    <row r="672" spans="1:8" ht="20.100000000000001" customHeight="1">
      <c r="A672" t="s">
        <v>684</v>
      </c>
      <c r="B672" s="3">
        <v>46</v>
      </c>
      <c r="C672" s="2">
        <v>5600000</v>
      </c>
      <c r="D672" s="2">
        <v>72300000</v>
      </c>
      <c r="E672" t="s">
        <v>9</v>
      </c>
      <c r="F672" t="s">
        <v>12</v>
      </c>
      <c r="G672" t="s">
        <v>10</v>
      </c>
      <c r="H672" s="3">
        <v>0</v>
      </c>
    </row>
    <row r="673" spans="1:8" ht="20.100000000000001" customHeight="1">
      <c r="A673" t="s">
        <v>685</v>
      </c>
      <c r="B673" s="3">
        <v>21</v>
      </c>
      <c r="C673" s="2">
        <v>3400000</v>
      </c>
      <c r="D673" s="2">
        <v>5300000</v>
      </c>
      <c r="E673" t="s">
        <v>16</v>
      </c>
      <c r="F673" t="s">
        <v>10</v>
      </c>
      <c r="G673" t="s">
        <v>10</v>
      </c>
      <c r="H673" s="3">
        <v>0</v>
      </c>
    </row>
    <row r="674" spans="1:8" ht="20.100000000000001" customHeight="1">
      <c r="A674" t="s">
        <v>686</v>
      </c>
      <c r="B674" s="3">
        <v>35</v>
      </c>
      <c r="C674" s="2">
        <v>4100000</v>
      </c>
      <c r="D674" s="2">
        <v>14400000</v>
      </c>
      <c r="E674" t="s">
        <v>16</v>
      </c>
      <c r="F674" t="s">
        <v>12</v>
      </c>
      <c r="G674" t="s">
        <v>10</v>
      </c>
      <c r="H674" s="3">
        <v>0</v>
      </c>
    </row>
    <row r="675" spans="1:8" ht="20.100000000000001" customHeight="1">
      <c r="A675" t="s">
        <v>687</v>
      </c>
      <c r="B675" s="3">
        <v>51</v>
      </c>
      <c r="C675" s="2">
        <v>4200000</v>
      </c>
      <c r="D675" s="2">
        <v>36700000</v>
      </c>
      <c r="E675" t="s">
        <v>9</v>
      </c>
      <c r="F675" t="s">
        <v>12</v>
      </c>
      <c r="G675" t="s">
        <v>12</v>
      </c>
      <c r="H675" s="3">
        <v>1</v>
      </c>
    </row>
    <row r="676" spans="1:8" ht="20.100000000000001" customHeight="1">
      <c r="A676" t="s">
        <v>688</v>
      </c>
      <c r="B676" s="3">
        <v>40</v>
      </c>
      <c r="C676" s="2">
        <v>8700000</v>
      </c>
      <c r="D676" s="2">
        <v>60800000</v>
      </c>
      <c r="E676" t="s">
        <v>9</v>
      </c>
      <c r="F676" t="s">
        <v>12</v>
      </c>
      <c r="G676" t="s">
        <v>10</v>
      </c>
      <c r="H676" s="3">
        <v>1</v>
      </c>
    </row>
    <row r="677" spans="1:8" ht="20.100000000000001" customHeight="1">
      <c r="A677" t="s">
        <v>689</v>
      </c>
      <c r="B677" s="3">
        <v>41</v>
      </c>
      <c r="C677" s="2">
        <v>7200000</v>
      </c>
      <c r="D677" s="2">
        <v>30300000</v>
      </c>
      <c r="E677" t="s">
        <v>16</v>
      </c>
      <c r="F677" t="s">
        <v>12</v>
      </c>
      <c r="G677" t="s">
        <v>10</v>
      </c>
      <c r="H677" s="3">
        <v>1</v>
      </c>
    </row>
    <row r="678" spans="1:8" ht="20.100000000000001" customHeight="1">
      <c r="A678" t="s">
        <v>690</v>
      </c>
      <c r="B678" s="3">
        <v>38</v>
      </c>
      <c r="C678" s="2">
        <v>13500000</v>
      </c>
      <c r="D678" s="2">
        <v>155000000</v>
      </c>
      <c r="E678" t="s">
        <v>9</v>
      </c>
      <c r="F678" t="s">
        <v>10</v>
      </c>
      <c r="G678" t="s">
        <v>12</v>
      </c>
      <c r="H678" s="3">
        <v>0</v>
      </c>
    </row>
    <row r="679" spans="1:8" ht="20.100000000000001" customHeight="1">
      <c r="A679" t="s">
        <v>691</v>
      </c>
      <c r="B679" s="3">
        <v>48</v>
      </c>
      <c r="C679" s="2">
        <v>8300000</v>
      </c>
      <c r="D679" s="2">
        <v>155000000</v>
      </c>
      <c r="E679" t="s">
        <v>9</v>
      </c>
      <c r="F679" t="s">
        <v>12</v>
      </c>
      <c r="G679" t="s">
        <v>12</v>
      </c>
      <c r="H679" s="3">
        <v>1</v>
      </c>
    </row>
    <row r="680" spans="1:8" ht="20.100000000000001" customHeight="1">
      <c r="A680" t="s">
        <v>692</v>
      </c>
      <c r="B680" s="3">
        <v>41</v>
      </c>
      <c r="C680" s="2">
        <v>8600000</v>
      </c>
      <c r="D680" s="2">
        <v>47800000</v>
      </c>
      <c r="E680" t="s">
        <v>9</v>
      </c>
      <c r="F680" t="s">
        <v>12</v>
      </c>
      <c r="G680" t="s">
        <v>10</v>
      </c>
      <c r="H680" s="3">
        <v>1</v>
      </c>
    </row>
    <row r="681" spans="1:8" ht="20.100000000000001" customHeight="1">
      <c r="A681" t="s">
        <v>693</v>
      </c>
      <c r="B681" s="3">
        <v>62</v>
      </c>
      <c r="C681" s="2">
        <v>4500000</v>
      </c>
      <c r="D681" s="2">
        <v>22800000</v>
      </c>
      <c r="E681" t="s">
        <v>31</v>
      </c>
      <c r="F681" t="s">
        <v>10</v>
      </c>
      <c r="G681" t="s">
        <v>12</v>
      </c>
      <c r="H681" s="3">
        <v>1</v>
      </c>
    </row>
    <row r="682" spans="1:8" ht="20.100000000000001" customHeight="1">
      <c r="A682" t="s">
        <v>694</v>
      </c>
      <c r="B682" s="3">
        <v>28</v>
      </c>
      <c r="C682" s="2">
        <v>4300000</v>
      </c>
      <c r="D682" s="2">
        <v>7500000</v>
      </c>
      <c r="E682" t="s">
        <v>9</v>
      </c>
      <c r="F682" t="s">
        <v>12</v>
      </c>
      <c r="G682" t="s">
        <v>12</v>
      </c>
      <c r="H682" s="3">
        <v>0</v>
      </c>
    </row>
    <row r="683" spans="1:8" ht="20.100000000000001" customHeight="1">
      <c r="A683" t="s">
        <v>695</v>
      </c>
      <c r="B683" s="3">
        <v>40</v>
      </c>
      <c r="C683" s="2">
        <v>4900000</v>
      </c>
      <c r="D683" s="2">
        <v>39600000</v>
      </c>
      <c r="E683" t="s">
        <v>16</v>
      </c>
      <c r="F683" t="s">
        <v>10</v>
      </c>
      <c r="G683" t="s">
        <v>10</v>
      </c>
      <c r="H683" s="3">
        <v>0</v>
      </c>
    </row>
    <row r="684" spans="1:8" ht="20.100000000000001" customHeight="1">
      <c r="A684" t="s">
        <v>696</v>
      </c>
      <c r="B684" s="3">
        <v>62</v>
      </c>
      <c r="C684" s="2">
        <v>4100000</v>
      </c>
      <c r="D684" s="2">
        <v>3000000</v>
      </c>
      <c r="E684" t="s">
        <v>31</v>
      </c>
      <c r="F684" t="s">
        <v>12</v>
      </c>
      <c r="G684" t="s">
        <v>10</v>
      </c>
      <c r="H684" s="3">
        <v>0</v>
      </c>
    </row>
    <row r="685" spans="1:8" ht="20.100000000000001" customHeight="1">
      <c r="A685" t="s">
        <v>697</v>
      </c>
      <c r="B685" s="3">
        <v>45</v>
      </c>
      <c r="C685" s="2">
        <v>7400000</v>
      </c>
      <c r="D685" s="2">
        <v>96100000</v>
      </c>
      <c r="E685" t="s">
        <v>9</v>
      </c>
      <c r="F685" t="s">
        <v>12</v>
      </c>
      <c r="G685" t="s">
        <v>12</v>
      </c>
      <c r="H685" s="3">
        <v>1</v>
      </c>
    </row>
    <row r="686" spans="1:8" ht="20.100000000000001" customHeight="1">
      <c r="A686" t="s">
        <v>698</v>
      </c>
      <c r="B686" s="3">
        <v>26</v>
      </c>
      <c r="C686" s="2">
        <v>6200000</v>
      </c>
      <c r="D686" s="2">
        <v>18200000</v>
      </c>
      <c r="E686" t="s">
        <v>14</v>
      </c>
      <c r="F686" t="s">
        <v>10</v>
      </c>
      <c r="G686" t="s">
        <v>12</v>
      </c>
      <c r="H686" s="3">
        <v>0</v>
      </c>
    </row>
    <row r="687" spans="1:8" ht="20.100000000000001" customHeight="1">
      <c r="A687" t="s">
        <v>699</v>
      </c>
      <c r="B687" s="3">
        <v>47</v>
      </c>
      <c r="C687" s="2">
        <v>3600000</v>
      </c>
      <c r="D687" s="2">
        <v>4400000</v>
      </c>
      <c r="E687" t="s">
        <v>16</v>
      </c>
      <c r="F687" t="s">
        <v>12</v>
      </c>
      <c r="G687" t="s">
        <v>10</v>
      </c>
      <c r="H687" s="3">
        <v>0</v>
      </c>
    </row>
    <row r="688" spans="1:8" ht="20.100000000000001" customHeight="1">
      <c r="A688" t="s">
        <v>700</v>
      </c>
      <c r="B688" s="3">
        <v>28</v>
      </c>
      <c r="C688" s="2">
        <v>8500000</v>
      </c>
      <c r="D688" s="2">
        <v>10000000</v>
      </c>
      <c r="E688" t="s">
        <v>9</v>
      </c>
      <c r="F688" t="s">
        <v>12</v>
      </c>
      <c r="G688" t="s">
        <v>10</v>
      </c>
      <c r="H688" s="3">
        <v>0</v>
      </c>
    </row>
    <row r="689" spans="1:8" ht="20.100000000000001" customHeight="1">
      <c r="A689" t="s">
        <v>701</v>
      </c>
      <c r="B689" s="3">
        <v>50</v>
      </c>
      <c r="C689" s="2">
        <v>5200000</v>
      </c>
      <c r="D689" s="2">
        <v>10800000</v>
      </c>
      <c r="E689" t="s">
        <v>9</v>
      </c>
      <c r="F689" t="s">
        <v>12</v>
      </c>
      <c r="G689" t="s">
        <v>10</v>
      </c>
      <c r="H689" s="3">
        <v>0</v>
      </c>
    </row>
    <row r="690" spans="1:8" ht="20.100000000000001" customHeight="1">
      <c r="A690" t="s">
        <v>702</v>
      </c>
      <c r="B690" s="3">
        <v>43</v>
      </c>
      <c r="C690" s="2">
        <v>6200000</v>
      </c>
      <c r="D690" s="2">
        <v>41100000</v>
      </c>
      <c r="E690" t="s">
        <v>16</v>
      </c>
      <c r="F690" t="s">
        <v>10</v>
      </c>
      <c r="G690" t="s">
        <v>12</v>
      </c>
      <c r="H690" s="3">
        <v>0</v>
      </c>
    </row>
    <row r="691" spans="1:8" ht="20.100000000000001" customHeight="1">
      <c r="A691" t="s">
        <v>703</v>
      </c>
      <c r="B691" s="3">
        <v>50</v>
      </c>
      <c r="C691" s="2">
        <v>5600000</v>
      </c>
      <c r="D691" s="2">
        <v>25300000</v>
      </c>
      <c r="E691" t="s">
        <v>9</v>
      </c>
      <c r="F691" t="s">
        <v>10</v>
      </c>
      <c r="G691" t="s">
        <v>10</v>
      </c>
      <c r="H691" s="3">
        <v>1</v>
      </c>
    </row>
    <row r="692" spans="1:8" ht="20.100000000000001" customHeight="1">
      <c r="A692" t="s">
        <v>704</v>
      </c>
      <c r="B692" s="3">
        <v>37</v>
      </c>
      <c r="C692" s="2">
        <v>5600000</v>
      </c>
      <c r="D692" s="2">
        <v>68100000</v>
      </c>
      <c r="E692" t="s">
        <v>9</v>
      </c>
      <c r="F692" t="s">
        <v>12</v>
      </c>
      <c r="G692" t="s">
        <v>10</v>
      </c>
      <c r="H692" s="3">
        <v>0</v>
      </c>
    </row>
    <row r="693" spans="1:8" ht="20.100000000000001" customHeight="1">
      <c r="A693" t="s">
        <v>705</v>
      </c>
      <c r="B693" s="3">
        <v>52</v>
      </c>
      <c r="C693" s="2">
        <v>6200000</v>
      </c>
      <c r="D693" s="2">
        <v>9300000</v>
      </c>
      <c r="E693" t="s">
        <v>9</v>
      </c>
      <c r="F693" t="s">
        <v>12</v>
      </c>
      <c r="G693" t="s">
        <v>10</v>
      </c>
      <c r="H693" s="3">
        <v>0</v>
      </c>
    </row>
    <row r="694" spans="1:8" ht="20.100000000000001" customHeight="1">
      <c r="A694" t="s">
        <v>706</v>
      </c>
      <c r="B694" s="3">
        <v>48</v>
      </c>
      <c r="C694" s="2">
        <v>4800000</v>
      </c>
      <c r="D694" s="2">
        <v>12000000</v>
      </c>
      <c r="E694" t="s">
        <v>9</v>
      </c>
      <c r="F694" t="s">
        <v>12</v>
      </c>
      <c r="G694" t="s">
        <v>10</v>
      </c>
      <c r="H694" s="3">
        <v>0</v>
      </c>
    </row>
    <row r="695" spans="1:8" ht="20.100000000000001" customHeight="1">
      <c r="A695" t="s">
        <v>707</v>
      </c>
      <c r="B695" s="3">
        <v>40</v>
      </c>
      <c r="C695" s="2">
        <v>5200000</v>
      </c>
      <c r="D695" s="2">
        <v>16600000</v>
      </c>
      <c r="E695" t="s">
        <v>16</v>
      </c>
      <c r="F695" t="s">
        <v>12</v>
      </c>
      <c r="G695" t="s">
        <v>10</v>
      </c>
      <c r="H695" s="3">
        <v>0</v>
      </c>
    </row>
    <row r="696" spans="1:8" ht="20.100000000000001" customHeight="1">
      <c r="A696" t="s">
        <v>708</v>
      </c>
      <c r="B696" s="3">
        <v>39</v>
      </c>
      <c r="C696" s="2">
        <v>9300000</v>
      </c>
      <c r="D696" s="2">
        <v>116000000</v>
      </c>
      <c r="E696" t="s">
        <v>14</v>
      </c>
      <c r="F696" t="s">
        <v>12</v>
      </c>
      <c r="G696" t="s">
        <v>10</v>
      </c>
      <c r="H696" s="3">
        <v>1</v>
      </c>
    </row>
    <row r="697" spans="1:8" ht="20.100000000000001" customHeight="1">
      <c r="A697" t="s">
        <v>709</v>
      </c>
      <c r="B697" s="3">
        <v>39</v>
      </c>
      <c r="C697" s="2">
        <v>2400000</v>
      </c>
      <c r="D697" s="2">
        <v>7500000</v>
      </c>
      <c r="E697" t="s">
        <v>9</v>
      </c>
      <c r="F697" t="s">
        <v>10</v>
      </c>
      <c r="G697" t="s">
        <v>12</v>
      </c>
      <c r="H697" s="3">
        <v>0</v>
      </c>
    </row>
    <row r="698" spans="1:8" ht="20.100000000000001" customHeight="1">
      <c r="A698" t="s">
        <v>710</v>
      </c>
      <c r="B698" s="3">
        <v>21</v>
      </c>
      <c r="C698" s="2">
        <v>2900000</v>
      </c>
      <c r="D698" s="2">
        <v>8300000</v>
      </c>
      <c r="E698" t="s">
        <v>16</v>
      </c>
      <c r="F698" t="s">
        <v>10</v>
      </c>
      <c r="G698" t="s">
        <v>12</v>
      </c>
      <c r="H698" s="3">
        <v>0</v>
      </c>
    </row>
    <row r="699" spans="1:8" ht="20.100000000000001" customHeight="1">
      <c r="A699" t="s">
        <v>711</v>
      </c>
      <c r="B699" s="3">
        <v>28</v>
      </c>
      <c r="C699" s="2">
        <v>5200000</v>
      </c>
      <c r="D699" s="2">
        <v>11800000</v>
      </c>
      <c r="E699" t="s">
        <v>16</v>
      </c>
      <c r="F699" t="s">
        <v>10</v>
      </c>
      <c r="G699" t="s">
        <v>12</v>
      </c>
      <c r="H699" s="3">
        <v>0</v>
      </c>
    </row>
    <row r="700" spans="1:8" ht="20.100000000000001" customHeight="1">
      <c r="A700" t="s">
        <v>712</v>
      </c>
      <c r="B700" s="3">
        <v>58</v>
      </c>
      <c r="C700" s="2">
        <v>6500000</v>
      </c>
      <c r="D700" s="2">
        <v>10300000</v>
      </c>
      <c r="E700" t="s">
        <v>16</v>
      </c>
      <c r="F700" t="s">
        <v>10</v>
      </c>
      <c r="G700" t="s">
        <v>12</v>
      </c>
      <c r="H700" s="3">
        <v>0</v>
      </c>
    </row>
    <row r="701" spans="1:8" ht="20.100000000000001" customHeight="1">
      <c r="A701" t="s">
        <v>713</v>
      </c>
      <c r="B701" s="3">
        <v>58</v>
      </c>
      <c r="C701" s="2">
        <v>5300000</v>
      </c>
      <c r="D701" s="2">
        <v>76900000</v>
      </c>
      <c r="E701" t="s">
        <v>31</v>
      </c>
      <c r="F701" t="s">
        <v>12</v>
      </c>
      <c r="G701" t="s">
        <v>10</v>
      </c>
      <c r="H701" s="3">
        <v>1</v>
      </c>
    </row>
    <row r="702" spans="1:8" ht="20.100000000000001" customHeight="1">
      <c r="A702" t="s">
        <v>714</v>
      </c>
      <c r="B702" s="3">
        <v>27</v>
      </c>
      <c r="C702" s="2">
        <v>8900000</v>
      </c>
      <c r="D702" s="2">
        <v>21900000</v>
      </c>
      <c r="E702" t="s">
        <v>14</v>
      </c>
      <c r="F702" t="s">
        <v>10</v>
      </c>
      <c r="G702" t="s">
        <v>12</v>
      </c>
      <c r="H702" s="3">
        <v>0</v>
      </c>
    </row>
    <row r="703" spans="1:8" ht="20.100000000000001" customHeight="1">
      <c r="A703" t="s">
        <v>715</v>
      </c>
      <c r="B703" s="3">
        <v>49</v>
      </c>
      <c r="C703" s="2">
        <v>11200000</v>
      </c>
      <c r="D703" s="2">
        <v>155000000</v>
      </c>
      <c r="E703" t="s">
        <v>9</v>
      </c>
      <c r="F703" t="s">
        <v>12</v>
      </c>
      <c r="G703" t="s">
        <v>12</v>
      </c>
      <c r="H703" s="3">
        <v>1</v>
      </c>
    </row>
    <row r="704" spans="1:8" ht="20.100000000000001" customHeight="1">
      <c r="A704" t="s">
        <v>716</v>
      </c>
      <c r="B704" s="3">
        <v>50</v>
      </c>
      <c r="C704" s="2">
        <v>2900000</v>
      </c>
      <c r="D704" s="2">
        <v>25400000</v>
      </c>
      <c r="E704" t="s">
        <v>9</v>
      </c>
      <c r="F704" t="s">
        <v>10</v>
      </c>
      <c r="G704" t="s">
        <v>10</v>
      </c>
      <c r="H704" s="3">
        <v>0</v>
      </c>
    </row>
    <row r="705" spans="1:8" ht="20.100000000000001" customHeight="1">
      <c r="A705" t="s">
        <v>717</v>
      </c>
      <c r="B705" s="3">
        <v>41</v>
      </c>
      <c r="C705" s="2">
        <v>3000000</v>
      </c>
      <c r="D705" s="2">
        <v>15200000</v>
      </c>
      <c r="E705" t="s">
        <v>9</v>
      </c>
      <c r="F705" t="s">
        <v>12</v>
      </c>
      <c r="G705" t="s">
        <v>10</v>
      </c>
      <c r="H705" s="3">
        <v>0</v>
      </c>
    </row>
    <row r="706" spans="1:8" ht="20.100000000000001" customHeight="1">
      <c r="A706" t="s">
        <v>718</v>
      </c>
      <c r="B706" s="3">
        <v>33</v>
      </c>
      <c r="C706" s="2">
        <v>6400000</v>
      </c>
      <c r="D706" s="2">
        <v>8700000</v>
      </c>
      <c r="E706" t="s">
        <v>9</v>
      </c>
      <c r="F706" t="s">
        <v>10</v>
      </c>
      <c r="G706" t="s">
        <v>10</v>
      </c>
      <c r="H706" s="3">
        <v>0</v>
      </c>
    </row>
    <row r="707" spans="1:8" ht="20.100000000000001" customHeight="1">
      <c r="A707" t="s">
        <v>719</v>
      </c>
      <c r="B707" s="3">
        <v>22</v>
      </c>
      <c r="C707" s="2">
        <v>10000000</v>
      </c>
      <c r="D707" s="2">
        <v>64500000</v>
      </c>
      <c r="E707" t="s">
        <v>16</v>
      </c>
      <c r="F707" t="s">
        <v>10</v>
      </c>
      <c r="G707" t="s">
        <v>10</v>
      </c>
      <c r="H707" s="3">
        <v>1</v>
      </c>
    </row>
    <row r="708" spans="1:8" ht="20.100000000000001" customHeight="1">
      <c r="A708" t="s">
        <v>720</v>
      </c>
      <c r="B708" s="3">
        <v>43</v>
      </c>
      <c r="C708" s="2">
        <v>5900000</v>
      </c>
      <c r="D708" s="2">
        <v>32200000</v>
      </c>
      <c r="E708" t="s">
        <v>9</v>
      </c>
      <c r="F708" t="s">
        <v>10</v>
      </c>
      <c r="G708" t="s">
        <v>10</v>
      </c>
      <c r="H708" s="3">
        <v>0</v>
      </c>
    </row>
    <row r="709" spans="1:8" ht="20.100000000000001" customHeight="1">
      <c r="A709" t="s">
        <v>721</v>
      </c>
      <c r="B709" s="3">
        <v>41</v>
      </c>
      <c r="C709" s="2">
        <v>7000000</v>
      </c>
      <c r="D709" s="2">
        <v>119800000</v>
      </c>
      <c r="E709" t="s">
        <v>9</v>
      </c>
      <c r="F709" t="s">
        <v>12</v>
      </c>
      <c r="G709" t="s">
        <v>10</v>
      </c>
      <c r="H709" s="3">
        <v>1</v>
      </c>
    </row>
    <row r="710" spans="1:8" ht="20.100000000000001" customHeight="1">
      <c r="A710" t="s">
        <v>722</v>
      </c>
      <c r="B710" s="3">
        <v>21</v>
      </c>
      <c r="C710" s="2">
        <v>4800000</v>
      </c>
      <c r="D710" s="2">
        <v>22500000</v>
      </c>
      <c r="E710" t="s">
        <v>14</v>
      </c>
      <c r="F710" t="s">
        <v>12</v>
      </c>
      <c r="G710" t="s">
        <v>12</v>
      </c>
      <c r="H710" s="3">
        <v>0</v>
      </c>
    </row>
    <row r="711" spans="1:8" ht="20.100000000000001" customHeight="1">
      <c r="A711" t="s">
        <v>723</v>
      </c>
      <c r="B711" s="3">
        <v>39</v>
      </c>
      <c r="C711" s="2">
        <v>11500000</v>
      </c>
      <c r="D711" s="2">
        <v>69400000</v>
      </c>
      <c r="E711" t="s">
        <v>16</v>
      </c>
      <c r="F711" t="s">
        <v>12</v>
      </c>
      <c r="G711" t="s">
        <v>12</v>
      </c>
      <c r="H711" s="3">
        <v>1</v>
      </c>
    </row>
    <row r="712" spans="1:8" ht="20.100000000000001" customHeight="1">
      <c r="A712" t="s">
        <v>724</v>
      </c>
      <c r="B712" s="3">
        <v>37</v>
      </c>
      <c r="C712" s="2">
        <v>7400000</v>
      </c>
      <c r="D712" s="2">
        <v>42000000</v>
      </c>
      <c r="E712" t="s">
        <v>9</v>
      </c>
      <c r="F712" t="s">
        <v>12</v>
      </c>
      <c r="G712" t="s">
        <v>12</v>
      </c>
      <c r="H712" s="3">
        <v>1</v>
      </c>
    </row>
    <row r="713" spans="1:8" ht="20.100000000000001" customHeight="1">
      <c r="A713" t="s">
        <v>725</v>
      </c>
      <c r="B713" s="3">
        <v>49</v>
      </c>
      <c r="C713" s="2">
        <v>5500000</v>
      </c>
      <c r="D713" s="2">
        <v>11400000</v>
      </c>
      <c r="E713" t="s">
        <v>9</v>
      </c>
      <c r="F713" t="s">
        <v>12</v>
      </c>
      <c r="G713" t="s">
        <v>10</v>
      </c>
      <c r="H713" s="3">
        <v>0</v>
      </c>
    </row>
    <row r="714" spans="1:8" ht="20.100000000000001" customHeight="1">
      <c r="A714" t="s">
        <v>726</v>
      </c>
      <c r="B714" s="3">
        <v>37</v>
      </c>
      <c r="C714" s="2">
        <v>4400000</v>
      </c>
      <c r="D714" s="2">
        <v>25400000</v>
      </c>
      <c r="E714" t="s">
        <v>9</v>
      </c>
      <c r="F714" t="s">
        <v>12</v>
      </c>
      <c r="G714" t="s">
        <v>12</v>
      </c>
      <c r="H714" s="3">
        <v>0</v>
      </c>
    </row>
    <row r="715" spans="1:8" ht="20.100000000000001" customHeight="1">
      <c r="A715" t="s">
        <v>727</v>
      </c>
      <c r="B715" s="3">
        <v>47</v>
      </c>
      <c r="C715" s="2">
        <v>6900000</v>
      </c>
      <c r="D715" s="2">
        <v>49500000</v>
      </c>
      <c r="E715" t="s">
        <v>16</v>
      </c>
      <c r="F715" t="s">
        <v>10</v>
      </c>
      <c r="G715" t="s">
        <v>10</v>
      </c>
      <c r="H715" s="3">
        <v>0</v>
      </c>
    </row>
    <row r="716" spans="1:8" ht="20.100000000000001" customHeight="1">
      <c r="A716" t="s">
        <v>728</v>
      </c>
      <c r="B716" s="3">
        <v>70</v>
      </c>
      <c r="C716" s="2">
        <v>23000000</v>
      </c>
      <c r="D716" s="2">
        <v>155000000</v>
      </c>
      <c r="E716" t="s">
        <v>16</v>
      </c>
      <c r="F716" t="s">
        <v>12</v>
      </c>
      <c r="G716" t="s">
        <v>12</v>
      </c>
      <c r="H716" s="3">
        <v>1</v>
      </c>
    </row>
    <row r="717" spans="1:8" ht="20.100000000000001" customHeight="1">
      <c r="A717" t="s">
        <v>729</v>
      </c>
      <c r="B717" s="3">
        <v>55</v>
      </c>
      <c r="C717" s="2">
        <v>4400000</v>
      </c>
      <c r="D717" s="2">
        <v>5100000</v>
      </c>
      <c r="E717" t="s">
        <v>9</v>
      </c>
      <c r="F717" t="s">
        <v>12</v>
      </c>
      <c r="G717" t="s">
        <v>12</v>
      </c>
      <c r="H717" s="3">
        <v>1</v>
      </c>
    </row>
    <row r="718" spans="1:8" ht="20.100000000000001" customHeight="1">
      <c r="A718" t="s">
        <v>730</v>
      </c>
      <c r="B718" s="3">
        <v>26</v>
      </c>
      <c r="C718" s="2">
        <v>2200000</v>
      </c>
      <c r="D718" s="2">
        <v>6400000</v>
      </c>
      <c r="E718" t="s">
        <v>9</v>
      </c>
      <c r="F718" t="s">
        <v>10</v>
      </c>
      <c r="G718" t="s">
        <v>12</v>
      </c>
      <c r="H718" s="3">
        <v>0</v>
      </c>
    </row>
    <row r="719" spans="1:8" ht="20.100000000000001" customHeight="1">
      <c r="A719" t="s">
        <v>731</v>
      </c>
      <c r="B719" s="3">
        <v>27</v>
      </c>
      <c r="C719" s="2">
        <v>5300000</v>
      </c>
      <c r="D719" s="2">
        <v>12000000</v>
      </c>
      <c r="E719" t="s">
        <v>14</v>
      </c>
      <c r="F719" t="s">
        <v>12</v>
      </c>
      <c r="G719" t="s">
        <v>10</v>
      </c>
      <c r="H719" s="3">
        <v>0</v>
      </c>
    </row>
    <row r="720" spans="1:8" ht="20.100000000000001" customHeight="1">
      <c r="A720" t="s">
        <v>732</v>
      </c>
      <c r="B720" s="3">
        <v>44</v>
      </c>
      <c r="C720" s="2">
        <v>6400000</v>
      </c>
      <c r="D720" s="2">
        <v>32700000</v>
      </c>
      <c r="E720" t="s">
        <v>16</v>
      </c>
      <c r="F720" t="s">
        <v>10</v>
      </c>
      <c r="G720" t="s">
        <v>10</v>
      </c>
      <c r="H720" s="3">
        <v>1</v>
      </c>
    </row>
    <row r="721" spans="1:8" ht="20.100000000000001" customHeight="1">
      <c r="A721" t="s">
        <v>733</v>
      </c>
      <c r="B721" s="3">
        <v>38</v>
      </c>
      <c r="C721" s="2">
        <v>7300000</v>
      </c>
      <c r="D721" s="2">
        <v>89000000</v>
      </c>
      <c r="E721" t="s">
        <v>14</v>
      </c>
      <c r="F721" t="s">
        <v>12</v>
      </c>
      <c r="G721" t="s">
        <v>12</v>
      </c>
      <c r="H721" s="3">
        <v>1</v>
      </c>
    </row>
    <row r="722" spans="1:8" ht="20.100000000000001" customHeight="1">
      <c r="A722" t="s">
        <v>734</v>
      </c>
      <c r="B722" s="3">
        <v>53</v>
      </c>
      <c r="C722" s="2">
        <v>5300000</v>
      </c>
      <c r="D722" s="2">
        <v>56100000</v>
      </c>
      <c r="E722" t="s">
        <v>16</v>
      </c>
      <c r="F722" t="s">
        <v>12</v>
      </c>
      <c r="G722" t="s">
        <v>12</v>
      </c>
      <c r="H722" s="3">
        <v>0</v>
      </c>
    </row>
    <row r="723" spans="1:8" ht="20.100000000000001" customHeight="1">
      <c r="A723" t="s">
        <v>735</v>
      </c>
      <c r="B723" s="3">
        <v>23</v>
      </c>
      <c r="C723" s="2">
        <v>1800000</v>
      </c>
      <c r="D723" s="2">
        <v>3600000</v>
      </c>
      <c r="E723" t="s">
        <v>16</v>
      </c>
      <c r="F723" t="s">
        <v>12</v>
      </c>
      <c r="G723" t="s">
        <v>10</v>
      </c>
      <c r="H723" s="3">
        <v>0</v>
      </c>
    </row>
    <row r="724" spans="1:8" ht="20.100000000000001" customHeight="1">
      <c r="A724" t="s">
        <v>736</v>
      </c>
      <c r="B724" s="3">
        <v>32</v>
      </c>
      <c r="C724" s="2">
        <v>7100000</v>
      </c>
      <c r="D724" s="2">
        <v>5000000</v>
      </c>
      <c r="E724" t="s">
        <v>9</v>
      </c>
      <c r="F724" t="s">
        <v>12</v>
      </c>
      <c r="G724" t="s">
        <v>10</v>
      </c>
      <c r="H724" s="3">
        <v>0</v>
      </c>
    </row>
    <row r="725" spans="1:8" ht="20.100000000000001" customHeight="1">
      <c r="A725" t="s">
        <v>737</v>
      </c>
      <c r="B725" s="3">
        <v>47</v>
      </c>
      <c r="C725" s="2">
        <v>6000000</v>
      </c>
      <c r="D725" s="2">
        <v>13000000</v>
      </c>
      <c r="E725" t="s">
        <v>14</v>
      </c>
      <c r="F725" t="s">
        <v>12</v>
      </c>
      <c r="G725" t="s">
        <v>10</v>
      </c>
      <c r="H725" s="3">
        <v>1</v>
      </c>
    </row>
    <row r="726" spans="1:8" ht="20.100000000000001" customHeight="1">
      <c r="A726" t="s">
        <v>738</v>
      </c>
      <c r="B726" s="3">
        <v>36</v>
      </c>
      <c r="C726" s="2">
        <v>6300000</v>
      </c>
      <c r="D726" s="2">
        <v>16800000</v>
      </c>
      <c r="E726" t="s">
        <v>16</v>
      </c>
      <c r="F726" t="s">
        <v>10</v>
      </c>
      <c r="G726" t="s">
        <v>12</v>
      </c>
      <c r="H726" s="3">
        <v>0</v>
      </c>
    </row>
    <row r="727" spans="1:8" ht="20.100000000000001" customHeight="1">
      <c r="A727" t="s">
        <v>739</v>
      </c>
      <c r="B727" s="3">
        <v>30</v>
      </c>
      <c r="C727" s="2">
        <v>8900000</v>
      </c>
      <c r="D727" s="2">
        <v>50900000</v>
      </c>
      <c r="E727" t="s">
        <v>9</v>
      </c>
      <c r="F727" t="s">
        <v>10</v>
      </c>
      <c r="G727" t="s">
        <v>10</v>
      </c>
      <c r="H727" s="3">
        <v>0</v>
      </c>
    </row>
    <row r="728" spans="1:8" ht="20.100000000000001" customHeight="1">
      <c r="A728" t="s">
        <v>740</v>
      </c>
      <c r="B728" s="3">
        <v>47</v>
      </c>
      <c r="C728" s="2">
        <v>6600000</v>
      </c>
      <c r="D728" s="2">
        <v>36500000</v>
      </c>
      <c r="E728" t="s">
        <v>16</v>
      </c>
      <c r="F728" t="s">
        <v>12</v>
      </c>
      <c r="G728" t="s">
        <v>12</v>
      </c>
      <c r="H728" s="3">
        <v>0</v>
      </c>
    </row>
    <row r="729" spans="1:8" ht="20.100000000000001" customHeight="1">
      <c r="A729" t="s">
        <v>741</v>
      </c>
      <c r="B729" s="3">
        <v>32</v>
      </c>
      <c r="C729" s="2">
        <v>5800000</v>
      </c>
      <c r="D729" s="2">
        <v>57100000</v>
      </c>
      <c r="E729" t="s">
        <v>9</v>
      </c>
      <c r="F729" t="s">
        <v>10</v>
      </c>
      <c r="G729" t="s">
        <v>12</v>
      </c>
      <c r="H729" s="3">
        <v>0</v>
      </c>
    </row>
    <row r="730" spans="1:8" ht="20.100000000000001" customHeight="1">
      <c r="A730" t="s">
        <v>742</v>
      </c>
      <c r="B730" s="3">
        <v>43</v>
      </c>
      <c r="C730" s="2">
        <v>8700000</v>
      </c>
      <c r="D730" s="2">
        <v>10800000</v>
      </c>
      <c r="E730" t="s">
        <v>14</v>
      </c>
      <c r="F730" t="s">
        <v>10</v>
      </c>
      <c r="G730" t="s">
        <v>10</v>
      </c>
      <c r="H730" s="3">
        <v>0</v>
      </c>
    </row>
    <row r="731" spans="1:8" ht="20.100000000000001" customHeight="1">
      <c r="A731" t="s">
        <v>743</v>
      </c>
      <c r="B731" s="3">
        <v>29</v>
      </c>
      <c r="C731" s="2">
        <v>7300000</v>
      </c>
      <c r="D731" s="2">
        <v>8300000</v>
      </c>
      <c r="E731" t="s">
        <v>14</v>
      </c>
      <c r="F731" t="s">
        <v>12</v>
      </c>
      <c r="G731" t="s">
        <v>10</v>
      </c>
      <c r="H731" s="3">
        <v>1</v>
      </c>
    </row>
    <row r="732" spans="1:8" ht="20.100000000000001" customHeight="1">
      <c r="A732" t="s">
        <v>744</v>
      </c>
      <c r="B732" s="3">
        <v>35</v>
      </c>
      <c r="C732" s="2">
        <v>3400000</v>
      </c>
      <c r="D732" s="2">
        <v>33400000</v>
      </c>
      <c r="E732" t="s">
        <v>16</v>
      </c>
      <c r="F732" t="s">
        <v>10</v>
      </c>
      <c r="G732" t="s">
        <v>10</v>
      </c>
      <c r="H732" s="3">
        <v>0</v>
      </c>
    </row>
    <row r="733" spans="1:8" ht="20.100000000000001" customHeight="1">
      <c r="A733" t="s">
        <v>745</v>
      </c>
      <c r="B733" s="3">
        <v>65</v>
      </c>
      <c r="C733" s="2">
        <v>7900000</v>
      </c>
      <c r="D733" s="2">
        <v>53900000</v>
      </c>
      <c r="E733" t="s">
        <v>31</v>
      </c>
      <c r="F733" t="s">
        <v>10</v>
      </c>
      <c r="G733" t="s">
        <v>10</v>
      </c>
      <c r="H733" s="3">
        <v>0</v>
      </c>
    </row>
    <row r="734" spans="1:8" ht="20.100000000000001" customHeight="1">
      <c r="A734" t="s">
        <v>746</v>
      </c>
      <c r="B734" s="3">
        <v>25</v>
      </c>
      <c r="C734" s="2">
        <v>5200000</v>
      </c>
      <c r="D734" s="2">
        <v>4800000</v>
      </c>
      <c r="E734" t="s">
        <v>9</v>
      </c>
      <c r="F734" t="s">
        <v>12</v>
      </c>
      <c r="G734" t="s">
        <v>10</v>
      </c>
      <c r="H734" s="3">
        <v>0</v>
      </c>
    </row>
    <row r="735" spans="1:8" ht="20.100000000000001" customHeight="1">
      <c r="A735" t="s">
        <v>747</v>
      </c>
      <c r="B735" s="3">
        <v>59</v>
      </c>
      <c r="C735" s="2">
        <v>8600000</v>
      </c>
      <c r="D735" s="2">
        <v>99700000</v>
      </c>
      <c r="E735" t="s">
        <v>9</v>
      </c>
      <c r="F735" t="s">
        <v>12</v>
      </c>
      <c r="G735" t="s">
        <v>10</v>
      </c>
      <c r="H735" s="3">
        <v>1</v>
      </c>
    </row>
    <row r="736" spans="1:8" ht="20.100000000000001" customHeight="1">
      <c r="A736" t="s">
        <v>748</v>
      </c>
      <c r="B736" s="3">
        <v>45</v>
      </c>
      <c r="C736" s="2">
        <v>8600000</v>
      </c>
      <c r="D736" s="2">
        <v>43200000</v>
      </c>
      <c r="E736" t="s">
        <v>9</v>
      </c>
      <c r="F736" t="s">
        <v>10</v>
      </c>
      <c r="G736" t="s">
        <v>10</v>
      </c>
      <c r="H736" s="3">
        <v>0</v>
      </c>
    </row>
    <row r="737" spans="1:8" ht="20.100000000000001" customHeight="1">
      <c r="A737" t="s">
        <v>749</v>
      </c>
      <c r="B737" s="3">
        <v>42</v>
      </c>
      <c r="C737" s="2">
        <v>9500000</v>
      </c>
      <c r="D737" s="2">
        <v>65200000</v>
      </c>
      <c r="E737" t="s">
        <v>14</v>
      </c>
      <c r="F737" t="s">
        <v>10</v>
      </c>
      <c r="G737" t="s">
        <v>12</v>
      </c>
      <c r="H737" s="3">
        <v>1</v>
      </c>
    </row>
    <row r="738" spans="1:8" ht="20.100000000000001" customHeight="1">
      <c r="A738" t="s">
        <v>750</v>
      </c>
      <c r="B738" s="3">
        <v>42</v>
      </c>
      <c r="C738" s="2">
        <v>9000000</v>
      </c>
      <c r="D738" s="2">
        <v>28700000</v>
      </c>
      <c r="E738" t="s">
        <v>16</v>
      </c>
      <c r="F738" t="s">
        <v>10</v>
      </c>
      <c r="G738" t="s">
        <v>12</v>
      </c>
      <c r="H738" s="3">
        <v>0</v>
      </c>
    </row>
    <row r="739" spans="1:8" ht="20.100000000000001" customHeight="1">
      <c r="A739" t="s">
        <v>751</v>
      </c>
      <c r="B739" s="3">
        <v>47</v>
      </c>
      <c r="C739" s="2">
        <v>7600000</v>
      </c>
      <c r="D739" s="2">
        <v>14400000</v>
      </c>
      <c r="E739" t="s">
        <v>16</v>
      </c>
      <c r="F739" t="s">
        <v>12</v>
      </c>
      <c r="G739" t="s">
        <v>12</v>
      </c>
      <c r="H739" s="3">
        <v>0</v>
      </c>
    </row>
    <row r="740" spans="1:8" ht="20.100000000000001" customHeight="1">
      <c r="A740" t="s">
        <v>752</v>
      </c>
      <c r="B740" s="3">
        <v>51</v>
      </c>
      <c r="C740" s="2">
        <v>7400000</v>
      </c>
      <c r="D740" s="2">
        <v>68800000</v>
      </c>
      <c r="E740" t="s">
        <v>16</v>
      </c>
      <c r="F740" t="s">
        <v>10</v>
      </c>
      <c r="G740" t="s">
        <v>12</v>
      </c>
      <c r="H740" s="3">
        <v>0</v>
      </c>
    </row>
    <row r="741" spans="1:8" ht="20.100000000000001" customHeight="1">
      <c r="A741" t="s">
        <v>753</v>
      </c>
      <c r="B741" s="3">
        <v>64</v>
      </c>
      <c r="C741" s="2">
        <v>3900000</v>
      </c>
      <c r="D741" s="2">
        <v>18900000</v>
      </c>
      <c r="E741" t="s">
        <v>31</v>
      </c>
      <c r="F741" t="s">
        <v>12</v>
      </c>
      <c r="G741" t="s">
        <v>12</v>
      </c>
      <c r="H741" s="3">
        <v>0</v>
      </c>
    </row>
    <row r="742" spans="1:8" ht="20.100000000000001" customHeight="1">
      <c r="A742" t="s">
        <v>754</v>
      </c>
      <c r="B742" s="3">
        <v>21</v>
      </c>
      <c r="C742" s="2">
        <v>4700000</v>
      </c>
      <c r="D742" s="2">
        <v>6300000</v>
      </c>
      <c r="E742" t="s">
        <v>14</v>
      </c>
      <c r="F742" t="s">
        <v>10</v>
      </c>
      <c r="G742" t="s">
        <v>12</v>
      </c>
      <c r="H742" s="3">
        <v>0</v>
      </c>
    </row>
    <row r="743" spans="1:8" ht="20.100000000000001" customHeight="1">
      <c r="A743" t="s">
        <v>755</v>
      </c>
      <c r="B743" s="3">
        <v>48</v>
      </c>
      <c r="C743" s="2">
        <v>12300000</v>
      </c>
      <c r="D743" s="2">
        <v>136100000</v>
      </c>
      <c r="E743" t="s">
        <v>16</v>
      </c>
      <c r="F743" t="s">
        <v>12</v>
      </c>
      <c r="G743" t="s">
        <v>10</v>
      </c>
      <c r="H743" s="3">
        <v>1</v>
      </c>
    </row>
    <row r="744" spans="1:8" ht="20.100000000000001" customHeight="1">
      <c r="A744" t="s">
        <v>756</v>
      </c>
      <c r="B744" s="3">
        <v>44</v>
      </c>
      <c r="C744" s="2">
        <v>7500000</v>
      </c>
      <c r="D744" s="2">
        <v>46700000</v>
      </c>
      <c r="E744" t="s">
        <v>14</v>
      </c>
      <c r="F744" t="s">
        <v>10</v>
      </c>
      <c r="G744" t="s">
        <v>10</v>
      </c>
      <c r="H744" s="3">
        <v>0</v>
      </c>
    </row>
    <row r="745" spans="1:8" ht="20.100000000000001" customHeight="1">
      <c r="A745" t="s">
        <v>757</v>
      </c>
      <c r="B745" s="3">
        <v>39</v>
      </c>
      <c r="C745" s="2">
        <v>4700000</v>
      </c>
      <c r="D745" s="2">
        <v>16000000</v>
      </c>
      <c r="E745" t="s">
        <v>9</v>
      </c>
      <c r="F745" t="s">
        <v>12</v>
      </c>
      <c r="G745" t="s">
        <v>10</v>
      </c>
      <c r="H745" s="3">
        <v>0</v>
      </c>
    </row>
    <row r="746" spans="1:8" ht="20.100000000000001" customHeight="1">
      <c r="A746" t="s">
        <v>758</v>
      </c>
      <c r="B746" s="3">
        <v>54</v>
      </c>
      <c r="C746" s="2">
        <v>11900000</v>
      </c>
      <c r="D746" s="2">
        <v>155000000</v>
      </c>
      <c r="E746" t="s">
        <v>16</v>
      </c>
      <c r="F746" t="s">
        <v>10</v>
      </c>
      <c r="G746" t="s">
        <v>12</v>
      </c>
      <c r="H746" s="3">
        <v>0</v>
      </c>
    </row>
    <row r="747" spans="1:8" ht="20.100000000000001" customHeight="1">
      <c r="A747" t="s">
        <v>759</v>
      </c>
      <c r="B747" s="3">
        <v>36</v>
      </c>
      <c r="C747" s="2">
        <v>13100000</v>
      </c>
      <c r="D747" s="2">
        <v>50400000</v>
      </c>
      <c r="E747" t="s">
        <v>14</v>
      </c>
      <c r="F747" t="s">
        <v>10</v>
      </c>
      <c r="G747" t="s">
        <v>10</v>
      </c>
      <c r="H747" s="3">
        <v>0</v>
      </c>
    </row>
    <row r="748" spans="1:8" ht="20.100000000000001" customHeight="1">
      <c r="A748" t="s">
        <v>760</v>
      </c>
      <c r="B748" s="3">
        <v>70</v>
      </c>
      <c r="C748" s="2">
        <v>12200000</v>
      </c>
      <c r="D748" s="2">
        <v>155000000</v>
      </c>
      <c r="E748" t="s">
        <v>14</v>
      </c>
      <c r="F748" t="s">
        <v>12</v>
      </c>
      <c r="G748" t="s">
        <v>12</v>
      </c>
      <c r="H748" s="3">
        <v>1</v>
      </c>
    </row>
    <row r="749" spans="1:8" ht="20.100000000000001" customHeight="1">
      <c r="A749" t="s">
        <v>761</v>
      </c>
      <c r="B749" s="3">
        <v>43</v>
      </c>
      <c r="C749" s="2">
        <v>7200000</v>
      </c>
      <c r="D749" s="2">
        <v>19900000</v>
      </c>
      <c r="E749" t="s">
        <v>16</v>
      </c>
      <c r="F749" t="s">
        <v>12</v>
      </c>
      <c r="G749" t="s">
        <v>12</v>
      </c>
      <c r="H749" s="3">
        <v>0</v>
      </c>
    </row>
    <row r="750" spans="1:8" ht="20.100000000000001" customHeight="1">
      <c r="A750" t="s">
        <v>762</v>
      </c>
      <c r="B750" s="3">
        <v>34</v>
      </c>
      <c r="C750" s="2">
        <v>3200000</v>
      </c>
      <c r="D750" s="2">
        <v>88000000</v>
      </c>
      <c r="E750" t="s">
        <v>9</v>
      </c>
      <c r="F750" t="s">
        <v>12</v>
      </c>
      <c r="G750" t="s">
        <v>12</v>
      </c>
      <c r="H750" s="3">
        <v>0</v>
      </c>
    </row>
    <row r="751" spans="1:8" ht="20.100000000000001" customHeight="1">
      <c r="A751" t="s">
        <v>763</v>
      </c>
      <c r="B751" s="3">
        <v>55</v>
      </c>
      <c r="C751" s="2">
        <v>14900000</v>
      </c>
      <c r="D751" s="2">
        <v>125700000</v>
      </c>
      <c r="E751" t="s">
        <v>16</v>
      </c>
      <c r="F751" t="s">
        <v>12</v>
      </c>
      <c r="G751" t="s">
        <v>12</v>
      </c>
      <c r="H751" s="3">
        <v>1</v>
      </c>
    </row>
    <row r="752" spans="1:8" ht="20.100000000000001" customHeight="1">
      <c r="A752" t="s">
        <v>764</v>
      </c>
      <c r="B752" s="3">
        <v>33</v>
      </c>
      <c r="C752" s="2">
        <v>4600000</v>
      </c>
      <c r="D752" s="2">
        <v>79200000</v>
      </c>
      <c r="E752" t="s">
        <v>14</v>
      </c>
      <c r="F752" t="s">
        <v>10</v>
      </c>
      <c r="G752" t="s">
        <v>10</v>
      </c>
      <c r="H752" s="3">
        <v>0</v>
      </c>
    </row>
    <row r="753" spans="1:8" ht="20.100000000000001" customHeight="1">
      <c r="A753" t="s">
        <v>765</v>
      </c>
      <c r="B753" s="3">
        <v>44</v>
      </c>
      <c r="C753" s="2">
        <v>5700000</v>
      </c>
      <c r="D753" s="2">
        <v>41600000</v>
      </c>
      <c r="E753" t="s">
        <v>9</v>
      </c>
      <c r="F753" t="s">
        <v>10</v>
      </c>
      <c r="G753" t="s">
        <v>12</v>
      </c>
      <c r="H753" s="3">
        <v>0</v>
      </c>
    </row>
    <row r="754" spans="1:8" ht="20.100000000000001" customHeight="1">
      <c r="A754" t="s">
        <v>766</v>
      </c>
      <c r="B754" s="3">
        <v>49</v>
      </c>
      <c r="C754" s="2">
        <v>10900000</v>
      </c>
      <c r="D754" s="2">
        <v>103300000</v>
      </c>
      <c r="E754" t="s">
        <v>16</v>
      </c>
      <c r="F754" t="s">
        <v>10</v>
      </c>
      <c r="G754" t="s">
        <v>10</v>
      </c>
      <c r="H754" s="3">
        <v>1</v>
      </c>
    </row>
    <row r="755" spans="1:8" ht="20.100000000000001" customHeight="1">
      <c r="A755" t="s">
        <v>767</v>
      </c>
      <c r="B755" s="3">
        <v>22</v>
      </c>
      <c r="C755" s="2">
        <v>3400000</v>
      </c>
      <c r="D755" s="2">
        <v>3900000</v>
      </c>
      <c r="E755" t="s">
        <v>9</v>
      </c>
      <c r="F755" t="s">
        <v>12</v>
      </c>
      <c r="G755" t="s">
        <v>12</v>
      </c>
      <c r="H755" s="3">
        <v>0</v>
      </c>
    </row>
    <row r="756" spans="1:8" ht="20.100000000000001" customHeight="1">
      <c r="A756" t="s">
        <v>768</v>
      </c>
      <c r="B756" s="3">
        <v>48</v>
      </c>
      <c r="C756" s="2">
        <v>8300000</v>
      </c>
      <c r="D756" s="2">
        <v>38600000</v>
      </c>
      <c r="E756" t="s">
        <v>9</v>
      </c>
      <c r="F756" t="s">
        <v>10</v>
      </c>
      <c r="G756" t="s">
        <v>12</v>
      </c>
      <c r="H756" s="3">
        <v>1</v>
      </c>
    </row>
    <row r="757" spans="1:8" ht="20.100000000000001" customHeight="1">
      <c r="A757" t="s">
        <v>769</v>
      </c>
      <c r="B757" s="3">
        <v>54</v>
      </c>
      <c r="C757" s="2">
        <v>8900000</v>
      </c>
      <c r="D757" s="2">
        <v>124000000</v>
      </c>
      <c r="E757" t="s">
        <v>16</v>
      </c>
      <c r="F757" t="s">
        <v>12</v>
      </c>
      <c r="G757" t="s">
        <v>12</v>
      </c>
      <c r="H757" s="3">
        <v>0</v>
      </c>
    </row>
    <row r="758" spans="1:8" ht="20.100000000000001" customHeight="1">
      <c r="A758" t="s">
        <v>770</v>
      </c>
      <c r="B758" s="3">
        <v>31</v>
      </c>
      <c r="C758" s="2">
        <v>4400000</v>
      </c>
      <c r="D758" s="2">
        <v>12500000</v>
      </c>
      <c r="E758" t="s">
        <v>9</v>
      </c>
      <c r="F758" t="s">
        <v>12</v>
      </c>
      <c r="G758" t="s">
        <v>12</v>
      </c>
      <c r="H758" s="3">
        <v>0</v>
      </c>
    </row>
    <row r="759" spans="1:8" ht="20.100000000000001" customHeight="1">
      <c r="A759" t="s">
        <v>771</v>
      </c>
      <c r="B759" s="3">
        <v>24</v>
      </c>
      <c r="C759" s="2">
        <v>4900000</v>
      </c>
      <c r="D759" s="2">
        <v>26000000</v>
      </c>
      <c r="E759" t="s">
        <v>9</v>
      </c>
      <c r="F759" t="s">
        <v>10</v>
      </c>
      <c r="G759" t="s">
        <v>12</v>
      </c>
      <c r="H759" s="3">
        <v>0</v>
      </c>
    </row>
    <row r="760" spans="1:8" ht="20.100000000000001" customHeight="1">
      <c r="A760" t="s">
        <v>772</v>
      </c>
      <c r="B760" s="3">
        <v>49</v>
      </c>
      <c r="C760" s="2">
        <v>7000000</v>
      </c>
      <c r="D760" s="2">
        <v>11100000</v>
      </c>
      <c r="E760" t="s">
        <v>9</v>
      </c>
      <c r="F760" t="s">
        <v>12</v>
      </c>
      <c r="G760" t="s">
        <v>10</v>
      </c>
      <c r="H760" s="3">
        <v>1</v>
      </c>
    </row>
    <row r="761" spans="1:8" ht="20.100000000000001" customHeight="1">
      <c r="A761" t="s">
        <v>773</v>
      </c>
      <c r="B761" s="3">
        <v>53</v>
      </c>
      <c r="C761" s="2">
        <v>7200000</v>
      </c>
      <c r="D761" s="2">
        <v>51700000</v>
      </c>
      <c r="E761" t="s">
        <v>9</v>
      </c>
      <c r="F761" t="s">
        <v>10</v>
      </c>
      <c r="G761" t="s">
        <v>10</v>
      </c>
      <c r="H761" s="3">
        <v>0</v>
      </c>
    </row>
    <row r="762" spans="1:8" ht="20.100000000000001" customHeight="1">
      <c r="A762" t="s">
        <v>774</v>
      </c>
      <c r="B762" s="3">
        <v>52</v>
      </c>
      <c r="C762" s="2">
        <v>6700000</v>
      </c>
      <c r="D762" s="2">
        <v>10200000</v>
      </c>
      <c r="E762" t="s">
        <v>16</v>
      </c>
      <c r="F762" t="s">
        <v>12</v>
      </c>
      <c r="G762" t="s">
        <v>12</v>
      </c>
      <c r="H762" s="3">
        <v>0</v>
      </c>
    </row>
    <row r="763" spans="1:8" ht="20.100000000000001" customHeight="1">
      <c r="A763" t="s">
        <v>775</v>
      </c>
      <c r="B763" s="3">
        <v>27</v>
      </c>
      <c r="C763" s="2">
        <v>6600000</v>
      </c>
      <c r="D763" s="2">
        <v>64900000</v>
      </c>
      <c r="E763" t="s">
        <v>16</v>
      </c>
      <c r="F763" t="s">
        <v>10</v>
      </c>
      <c r="G763" t="s">
        <v>12</v>
      </c>
      <c r="H763" s="3">
        <v>0</v>
      </c>
    </row>
    <row r="764" spans="1:8" ht="20.100000000000001" customHeight="1">
      <c r="A764" t="s">
        <v>776</v>
      </c>
      <c r="B764" s="3">
        <v>45</v>
      </c>
      <c r="C764" s="2">
        <v>7200000</v>
      </c>
      <c r="D764" s="2">
        <v>33100000</v>
      </c>
      <c r="E764" t="s">
        <v>9</v>
      </c>
      <c r="F764" t="s">
        <v>10</v>
      </c>
      <c r="G764" t="s">
        <v>12</v>
      </c>
      <c r="H764" s="3">
        <v>0</v>
      </c>
    </row>
    <row r="765" spans="1:8" ht="20.100000000000001" customHeight="1">
      <c r="A765" t="s">
        <v>777</v>
      </c>
      <c r="B765" s="3">
        <v>45</v>
      </c>
      <c r="C765" s="2">
        <v>6500000</v>
      </c>
      <c r="D765" s="2">
        <v>41600000</v>
      </c>
      <c r="E765" t="s">
        <v>9</v>
      </c>
      <c r="F765" t="s">
        <v>12</v>
      </c>
      <c r="G765" t="s">
        <v>10</v>
      </c>
      <c r="H765" s="3">
        <v>1</v>
      </c>
    </row>
    <row r="766" spans="1:8" ht="20.100000000000001" customHeight="1">
      <c r="A766" t="s">
        <v>778</v>
      </c>
      <c r="B766" s="3">
        <v>30</v>
      </c>
      <c r="C766" s="2">
        <v>9000000</v>
      </c>
      <c r="D766" s="2">
        <v>24000000</v>
      </c>
      <c r="E766" t="s">
        <v>16</v>
      </c>
      <c r="F766" t="s">
        <v>12</v>
      </c>
      <c r="G766" t="s">
        <v>12</v>
      </c>
      <c r="H766" s="3">
        <v>0</v>
      </c>
    </row>
    <row r="767" spans="1:8" ht="20.100000000000001" customHeight="1">
      <c r="A767" t="s">
        <v>779</v>
      </c>
      <c r="B767" s="3">
        <v>40</v>
      </c>
      <c r="C767" s="2">
        <v>9600000</v>
      </c>
      <c r="D767" s="2">
        <v>18700000</v>
      </c>
      <c r="E767" t="s">
        <v>14</v>
      </c>
      <c r="F767" t="s">
        <v>10</v>
      </c>
      <c r="G767" t="s">
        <v>10</v>
      </c>
      <c r="H767" s="3">
        <v>1</v>
      </c>
    </row>
    <row r="768" spans="1:8" ht="20.100000000000001" customHeight="1">
      <c r="A768" t="s">
        <v>780</v>
      </c>
      <c r="B768" s="3">
        <v>62</v>
      </c>
      <c r="C768" s="2">
        <v>2200000</v>
      </c>
      <c r="D768" s="2">
        <v>17000000</v>
      </c>
      <c r="E768" t="s">
        <v>31</v>
      </c>
      <c r="F768" t="s">
        <v>12</v>
      </c>
      <c r="G768" t="s">
        <v>12</v>
      </c>
      <c r="H768" s="3">
        <v>0</v>
      </c>
    </row>
    <row r="769" spans="1:8" ht="20.100000000000001" customHeight="1">
      <c r="A769" t="s">
        <v>781</v>
      </c>
      <c r="B769" s="3">
        <v>27</v>
      </c>
      <c r="C769" s="2">
        <v>9200000</v>
      </c>
      <c r="D769" s="2">
        <v>27900000</v>
      </c>
      <c r="E769" t="s">
        <v>16</v>
      </c>
      <c r="F769" t="s">
        <v>10</v>
      </c>
      <c r="G769" t="s">
        <v>12</v>
      </c>
      <c r="H769" s="3">
        <v>0</v>
      </c>
    </row>
    <row r="770" spans="1:8" ht="20.100000000000001" customHeight="1">
      <c r="A770" t="s">
        <v>782</v>
      </c>
      <c r="B770" s="3">
        <v>32</v>
      </c>
      <c r="C770" s="2">
        <v>6500000</v>
      </c>
      <c r="D770" s="2">
        <v>6000000</v>
      </c>
      <c r="E770" t="s">
        <v>14</v>
      </c>
      <c r="F770" t="s">
        <v>12</v>
      </c>
      <c r="G770" t="s">
        <v>12</v>
      </c>
      <c r="H770" s="3">
        <v>0</v>
      </c>
    </row>
    <row r="771" spans="1:8" ht="20.100000000000001" customHeight="1">
      <c r="A771" t="s">
        <v>783</v>
      </c>
      <c r="B771" s="3">
        <v>42</v>
      </c>
      <c r="C771" s="2">
        <v>3700000</v>
      </c>
      <c r="D771" s="2">
        <v>11700000</v>
      </c>
      <c r="E771" t="s">
        <v>9</v>
      </c>
      <c r="F771" t="s">
        <v>12</v>
      </c>
      <c r="G771" t="s">
        <v>12</v>
      </c>
      <c r="H771" s="3">
        <v>0</v>
      </c>
    </row>
    <row r="772" spans="1:8" ht="20.100000000000001" customHeight="1">
      <c r="A772" t="s">
        <v>784</v>
      </c>
      <c r="B772" s="3">
        <v>43</v>
      </c>
      <c r="C772" s="2">
        <v>10000000</v>
      </c>
      <c r="D772" s="2">
        <v>81800000</v>
      </c>
      <c r="E772" t="s">
        <v>16</v>
      </c>
      <c r="F772" t="s">
        <v>12</v>
      </c>
      <c r="G772" t="s">
        <v>10</v>
      </c>
      <c r="H772" s="3">
        <v>1</v>
      </c>
    </row>
    <row r="773" spans="1:8" ht="20.100000000000001" customHeight="1">
      <c r="A773" t="s">
        <v>785</v>
      </c>
      <c r="B773" s="3">
        <v>66</v>
      </c>
      <c r="C773" s="2">
        <v>3500000</v>
      </c>
      <c r="D773" s="2">
        <v>4100000</v>
      </c>
      <c r="E773" t="s">
        <v>31</v>
      </c>
      <c r="F773" t="s">
        <v>10</v>
      </c>
      <c r="G773" t="s">
        <v>12</v>
      </c>
      <c r="H773" s="3">
        <v>1</v>
      </c>
    </row>
    <row r="774" spans="1:8" ht="20.100000000000001" customHeight="1">
      <c r="A774" t="s">
        <v>786</v>
      </c>
      <c r="B774" s="3">
        <v>33</v>
      </c>
      <c r="C774" s="2">
        <v>5800000</v>
      </c>
      <c r="D774" s="2">
        <v>102400000</v>
      </c>
      <c r="E774" t="s">
        <v>9</v>
      </c>
      <c r="F774" t="s">
        <v>12</v>
      </c>
      <c r="G774" t="s">
        <v>10</v>
      </c>
      <c r="H774" s="3">
        <v>0</v>
      </c>
    </row>
    <row r="775" spans="1:8" ht="20.100000000000001" customHeight="1">
      <c r="A775" t="s">
        <v>787</v>
      </c>
      <c r="B775" s="3">
        <v>24</v>
      </c>
      <c r="C775" s="2">
        <v>8400000</v>
      </c>
      <c r="D775" s="2">
        <v>6100000</v>
      </c>
      <c r="E775" t="s">
        <v>14</v>
      </c>
      <c r="F775" t="s">
        <v>12</v>
      </c>
      <c r="G775" t="s">
        <v>12</v>
      </c>
      <c r="H775" s="3">
        <v>0</v>
      </c>
    </row>
    <row r="776" spans="1:8" ht="20.100000000000001" customHeight="1">
      <c r="A776" t="s">
        <v>788</v>
      </c>
      <c r="B776" s="3">
        <v>24</v>
      </c>
      <c r="C776" s="2">
        <v>2500000</v>
      </c>
      <c r="D776" s="2">
        <v>5700000</v>
      </c>
      <c r="E776" t="s">
        <v>16</v>
      </c>
      <c r="F776" t="s">
        <v>10</v>
      </c>
      <c r="G776" t="s">
        <v>10</v>
      </c>
      <c r="H776" s="3">
        <v>0</v>
      </c>
    </row>
    <row r="777" spans="1:8" ht="20.100000000000001" customHeight="1">
      <c r="A777" t="s">
        <v>789</v>
      </c>
      <c r="B777" s="3">
        <v>37</v>
      </c>
      <c r="C777" s="2">
        <v>6500000</v>
      </c>
      <c r="D777" s="2">
        <v>25800000</v>
      </c>
      <c r="E777" t="s">
        <v>14</v>
      </c>
      <c r="F777" t="s">
        <v>12</v>
      </c>
      <c r="G777" t="s">
        <v>10</v>
      </c>
      <c r="H777" s="3">
        <v>1</v>
      </c>
    </row>
    <row r="778" spans="1:8" ht="20.100000000000001" customHeight="1">
      <c r="A778" t="s">
        <v>790</v>
      </c>
      <c r="B778" s="3">
        <v>33</v>
      </c>
      <c r="C778" s="2">
        <v>8500000</v>
      </c>
      <c r="D778" s="2">
        <v>124200000</v>
      </c>
      <c r="E778" t="s">
        <v>14</v>
      </c>
      <c r="F778" t="s">
        <v>12</v>
      </c>
      <c r="G778" t="s">
        <v>12</v>
      </c>
      <c r="H778" s="3">
        <v>1</v>
      </c>
    </row>
    <row r="779" spans="1:8" ht="20.100000000000001" customHeight="1">
      <c r="A779" t="s">
        <v>791</v>
      </c>
      <c r="B779" s="3">
        <v>47</v>
      </c>
      <c r="C779" s="2">
        <v>9000000</v>
      </c>
      <c r="D779" s="2">
        <v>24000000</v>
      </c>
      <c r="E779" t="s">
        <v>16</v>
      </c>
      <c r="F779" t="s">
        <v>12</v>
      </c>
      <c r="G779" t="s">
        <v>10</v>
      </c>
      <c r="H779" s="3">
        <v>0</v>
      </c>
    </row>
    <row r="780" spans="1:8" ht="20.100000000000001" customHeight="1">
      <c r="A780" t="s">
        <v>792</v>
      </c>
      <c r="B780" s="3">
        <v>43</v>
      </c>
      <c r="C780" s="2">
        <v>7300000</v>
      </c>
      <c r="D780" s="2">
        <v>35900000</v>
      </c>
      <c r="E780" t="s">
        <v>14</v>
      </c>
      <c r="F780" t="s">
        <v>10</v>
      </c>
      <c r="G780" t="s">
        <v>10</v>
      </c>
      <c r="H780" s="3">
        <v>0</v>
      </c>
    </row>
    <row r="781" spans="1:8" ht="20.100000000000001" customHeight="1">
      <c r="A781" t="s">
        <v>793</v>
      </c>
      <c r="B781" s="3">
        <v>28</v>
      </c>
      <c r="C781" s="2">
        <v>4500000</v>
      </c>
      <c r="D781" s="2">
        <v>24500000</v>
      </c>
      <c r="E781" t="s">
        <v>16</v>
      </c>
      <c r="F781" t="s">
        <v>10</v>
      </c>
      <c r="G781" t="s">
        <v>12</v>
      </c>
      <c r="H781" s="3">
        <v>0</v>
      </c>
    </row>
    <row r="782" spans="1:8" ht="20.100000000000001" customHeight="1">
      <c r="A782" t="s">
        <v>794</v>
      </c>
      <c r="B782" s="3">
        <v>35</v>
      </c>
      <c r="C782" s="2">
        <v>15000000</v>
      </c>
      <c r="D782" s="2">
        <v>155000000</v>
      </c>
      <c r="E782" t="s">
        <v>9</v>
      </c>
      <c r="F782" t="s">
        <v>12</v>
      </c>
      <c r="G782" t="s">
        <v>12</v>
      </c>
      <c r="H782" s="3">
        <v>1</v>
      </c>
    </row>
    <row r="783" spans="1:8" ht="20.100000000000001" customHeight="1">
      <c r="A783" t="s">
        <v>795</v>
      </c>
      <c r="B783" s="3">
        <v>21</v>
      </c>
      <c r="C783" s="2">
        <v>4400000</v>
      </c>
      <c r="D783" s="2">
        <v>13600000</v>
      </c>
      <c r="E783" t="s">
        <v>16</v>
      </c>
      <c r="F783" t="s">
        <v>12</v>
      </c>
      <c r="G783" t="s">
        <v>12</v>
      </c>
      <c r="H783" s="3">
        <v>0</v>
      </c>
    </row>
    <row r="784" spans="1:8" ht="20.100000000000001" customHeight="1">
      <c r="A784" t="s">
        <v>796</v>
      </c>
      <c r="B784" s="3">
        <v>30</v>
      </c>
      <c r="C784" s="2">
        <v>4500000</v>
      </c>
      <c r="D784" s="2">
        <v>21900000</v>
      </c>
      <c r="E784" t="s">
        <v>14</v>
      </c>
      <c r="F784" t="s">
        <v>12</v>
      </c>
      <c r="G784" t="s">
        <v>12</v>
      </c>
      <c r="H784" s="3">
        <v>0</v>
      </c>
    </row>
    <row r="785" spans="1:8" ht="20.100000000000001" customHeight="1">
      <c r="A785" t="s">
        <v>797</v>
      </c>
      <c r="B785" s="3">
        <v>32</v>
      </c>
      <c r="C785" s="2">
        <v>7500000</v>
      </c>
      <c r="D785" s="2">
        <v>11900000</v>
      </c>
      <c r="E785" t="s">
        <v>14</v>
      </c>
      <c r="F785" t="s">
        <v>12</v>
      </c>
      <c r="G785" t="s">
        <v>10</v>
      </c>
      <c r="H785" s="3">
        <v>0</v>
      </c>
    </row>
    <row r="786" spans="1:8" ht="20.100000000000001" customHeight="1">
      <c r="A786" t="s">
        <v>798</v>
      </c>
      <c r="B786" s="3">
        <v>34</v>
      </c>
      <c r="C786" s="2">
        <v>11800000</v>
      </c>
      <c r="D786" s="2">
        <v>20500000</v>
      </c>
      <c r="E786" t="s">
        <v>14</v>
      </c>
      <c r="F786" t="s">
        <v>12</v>
      </c>
      <c r="G786" t="s">
        <v>10</v>
      </c>
      <c r="H786" s="3">
        <v>1</v>
      </c>
    </row>
    <row r="787" spans="1:8" ht="20.100000000000001" customHeight="1">
      <c r="A787" t="s">
        <v>799</v>
      </c>
      <c r="B787" s="3">
        <v>56</v>
      </c>
      <c r="C787" s="2">
        <v>12900000</v>
      </c>
      <c r="D787" s="2">
        <v>45900000</v>
      </c>
      <c r="E787" t="s">
        <v>16</v>
      </c>
      <c r="F787" t="s">
        <v>12</v>
      </c>
      <c r="G787" t="s">
        <v>12</v>
      </c>
      <c r="H787" s="3">
        <v>0</v>
      </c>
    </row>
    <row r="788" spans="1:8" ht="20.100000000000001" customHeight="1">
      <c r="A788" t="s">
        <v>800</v>
      </c>
      <c r="B788" s="3">
        <v>37</v>
      </c>
      <c r="C788" s="2">
        <v>7600000</v>
      </c>
      <c r="D788" s="2">
        <v>45500000</v>
      </c>
      <c r="E788" t="s">
        <v>9</v>
      </c>
      <c r="F788" t="s">
        <v>10</v>
      </c>
      <c r="G788" t="s">
        <v>10</v>
      </c>
      <c r="H788" s="3">
        <v>1</v>
      </c>
    </row>
    <row r="789" spans="1:8" ht="20.100000000000001" customHeight="1">
      <c r="A789" t="s">
        <v>801</v>
      </c>
      <c r="B789" s="3">
        <v>35</v>
      </c>
      <c r="C789" s="2">
        <v>4300000</v>
      </c>
      <c r="D789" s="2">
        <v>6800000</v>
      </c>
      <c r="E789" t="s">
        <v>14</v>
      </c>
      <c r="F789" t="s">
        <v>12</v>
      </c>
      <c r="G789" t="s">
        <v>12</v>
      </c>
      <c r="H789" s="3">
        <v>0</v>
      </c>
    </row>
    <row r="790" spans="1:8" ht="20.100000000000001" customHeight="1">
      <c r="A790" t="s">
        <v>802</v>
      </c>
      <c r="B790" s="3">
        <v>49</v>
      </c>
      <c r="C790" s="2">
        <v>7600000</v>
      </c>
      <c r="D790" s="2">
        <v>22300000</v>
      </c>
      <c r="E790" t="s">
        <v>16</v>
      </c>
      <c r="F790" t="s">
        <v>10</v>
      </c>
      <c r="G790" t="s">
        <v>12</v>
      </c>
      <c r="H790" s="3">
        <v>1</v>
      </c>
    </row>
    <row r="791" spans="1:8" ht="20.100000000000001" customHeight="1">
      <c r="A791" t="s">
        <v>803</v>
      </c>
      <c r="B791" s="3">
        <v>24</v>
      </c>
      <c r="C791" s="2">
        <v>5600000</v>
      </c>
      <c r="D791" s="2">
        <v>48400000</v>
      </c>
      <c r="E791" t="s">
        <v>16</v>
      </c>
      <c r="F791" t="s">
        <v>10</v>
      </c>
      <c r="G791" t="s">
        <v>10</v>
      </c>
      <c r="H791" s="3">
        <v>1</v>
      </c>
    </row>
    <row r="792" spans="1:8" ht="20.100000000000001" customHeight="1">
      <c r="A792" t="s">
        <v>804</v>
      </c>
      <c r="B792" s="3">
        <v>62</v>
      </c>
      <c r="C792" s="2">
        <v>3600000</v>
      </c>
      <c r="D792" s="2">
        <v>7000000</v>
      </c>
      <c r="E792" t="s">
        <v>31</v>
      </c>
      <c r="F792" t="s">
        <v>12</v>
      </c>
      <c r="G792" t="s">
        <v>10</v>
      </c>
      <c r="H792" s="3">
        <v>1</v>
      </c>
    </row>
    <row r="793" spans="1:8" ht="20.100000000000001" customHeight="1">
      <c r="A793" t="s">
        <v>805</v>
      </c>
      <c r="B793" s="3">
        <v>47</v>
      </c>
      <c r="C793" s="2">
        <v>11000000</v>
      </c>
      <c r="D793" s="2">
        <v>23600000</v>
      </c>
      <c r="E793" t="s">
        <v>9</v>
      </c>
      <c r="F793" t="s">
        <v>12</v>
      </c>
      <c r="G793" t="s">
        <v>12</v>
      </c>
      <c r="H793" s="3">
        <v>0</v>
      </c>
    </row>
    <row r="794" spans="1:8" ht="20.100000000000001" customHeight="1">
      <c r="A794" t="s">
        <v>806</v>
      </c>
      <c r="B794" s="3">
        <v>34</v>
      </c>
      <c r="C794" s="2">
        <v>4300000</v>
      </c>
      <c r="D794" s="2">
        <v>10600000</v>
      </c>
      <c r="E794" t="s">
        <v>9</v>
      </c>
      <c r="F794" t="s">
        <v>12</v>
      </c>
      <c r="G794" t="s">
        <v>12</v>
      </c>
      <c r="H794" s="3">
        <v>0</v>
      </c>
    </row>
    <row r="795" spans="1:8" ht="20.100000000000001" customHeight="1">
      <c r="A795" t="s">
        <v>807</v>
      </c>
      <c r="B795" s="3">
        <v>54</v>
      </c>
      <c r="C795" s="2">
        <v>12000000</v>
      </c>
      <c r="D795" s="2">
        <v>84500000</v>
      </c>
      <c r="E795" t="s">
        <v>16</v>
      </c>
      <c r="F795" t="s">
        <v>12</v>
      </c>
      <c r="G795" t="s">
        <v>12</v>
      </c>
      <c r="H795" s="3">
        <v>1</v>
      </c>
    </row>
    <row r="796" spans="1:8" ht="20.100000000000001" customHeight="1">
      <c r="A796" t="s">
        <v>808</v>
      </c>
      <c r="B796" s="3">
        <v>37</v>
      </c>
      <c r="C796" s="2">
        <v>4500000</v>
      </c>
      <c r="D796" s="2">
        <v>23800000</v>
      </c>
      <c r="E796" t="s">
        <v>9</v>
      </c>
      <c r="F796" t="s">
        <v>12</v>
      </c>
      <c r="G796" t="s">
        <v>10</v>
      </c>
      <c r="H796" s="3">
        <v>1</v>
      </c>
    </row>
    <row r="797" spans="1:8" ht="20.100000000000001" customHeight="1">
      <c r="A797" t="s">
        <v>809</v>
      </c>
      <c r="B797" s="3">
        <v>32</v>
      </c>
      <c r="C797" s="2">
        <v>5600000</v>
      </c>
      <c r="D797" s="2">
        <v>38400000</v>
      </c>
      <c r="E797" t="s">
        <v>16</v>
      </c>
      <c r="F797" t="s">
        <v>10</v>
      </c>
      <c r="G797" t="s">
        <v>12</v>
      </c>
      <c r="H797" s="3">
        <v>0</v>
      </c>
    </row>
    <row r="798" spans="1:8" ht="20.100000000000001" customHeight="1">
      <c r="A798" t="s">
        <v>810</v>
      </c>
      <c r="B798" s="3">
        <v>22</v>
      </c>
      <c r="C798" s="2">
        <v>7400000</v>
      </c>
      <c r="D798" s="2">
        <v>3000000</v>
      </c>
      <c r="E798" t="s">
        <v>14</v>
      </c>
      <c r="F798" t="s">
        <v>12</v>
      </c>
      <c r="G798" t="s">
        <v>12</v>
      </c>
      <c r="H798" s="3">
        <v>0</v>
      </c>
    </row>
    <row r="799" spans="1:8" ht="20.100000000000001" customHeight="1">
      <c r="A799" t="s">
        <v>811</v>
      </c>
      <c r="B799" s="3">
        <v>49</v>
      </c>
      <c r="C799" s="2">
        <v>3500000</v>
      </c>
      <c r="D799" s="2">
        <v>28600000</v>
      </c>
      <c r="E799" t="s">
        <v>14</v>
      </c>
      <c r="F799" t="s">
        <v>10</v>
      </c>
      <c r="G799" t="s">
        <v>10</v>
      </c>
      <c r="H799" s="3">
        <v>0</v>
      </c>
    </row>
    <row r="800" spans="1:8" ht="20.100000000000001" customHeight="1">
      <c r="A800" t="s">
        <v>812</v>
      </c>
      <c r="B800" s="3">
        <v>30</v>
      </c>
      <c r="C800" s="2">
        <v>6300000</v>
      </c>
      <c r="D800" s="2">
        <v>73300000</v>
      </c>
      <c r="E800" t="s">
        <v>14</v>
      </c>
      <c r="F800" t="s">
        <v>12</v>
      </c>
      <c r="G800" t="s">
        <v>10</v>
      </c>
      <c r="H800" s="3">
        <v>0</v>
      </c>
    </row>
    <row r="801" spans="1:8" ht="20.100000000000001" customHeight="1">
      <c r="A801" t="s">
        <v>813</v>
      </c>
      <c r="B801" s="3">
        <v>54</v>
      </c>
      <c r="C801" s="2">
        <v>6400000</v>
      </c>
      <c r="D801" s="2">
        <v>12400000</v>
      </c>
      <c r="E801" t="s">
        <v>9</v>
      </c>
      <c r="F801" t="s">
        <v>12</v>
      </c>
      <c r="G801" t="s">
        <v>10</v>
      </c>
      <c r="H801" s="3">
        <v>0</v>
      </c>
    </row>
    <row r="802" spans="1:8" ht="20.100000000000001" customHeight="1">
      <c r="A802" t="s">
        <v>814</v>
      </c>
      <c r="B802" s="3">
        <v>40</v>
      </c>
      <c r="C802" s="2">
        <v>11200000</v>
      </c>
      <c r="D802" s="2">
        <v>131200000</v>
      </c>
      <c r="E802" t="s">
        <v>16</v>
      </c>
      <c r="F802" t="s">
        <v>12</v>
      </c>
      <c r="G802" t="s">
        <v>12</v>
      </c>
      <c r="H802" s="3">
        <v>1</v>
      </c>
    </row>
    <row r="803" spans="1:8" ht="20.100000000000001" customHeight="1">
      <c r="A803" t="s">
        <v>815</v>
      </c>
      <c r="B803" s="3">
        <v>59</v>
      </c>
      <c r="C803" s="2">
        <v>12300000</v>
      </c>
      <c r="D803" s="2">
        <v>33400000</v>
      </c>
      <c r="E803" t="s">
        <v>16</v>
      </c>
      <c r="F803" t="s">
        <v>12</v>
      </c>
      <c r="G803" t="s">
        <v>12</v>
      </c>
      <c r="H803" s="3">
        <v>1</v>
      </c>
    </row>
    <row r="804" spans="1:8" ht="20.100000000000001" customHeight="1">
      <c r="A804" t="s">
        <v>816</v>
      </c>
      <c r="B804" s="3">
        <v>35</v>
      </c>
      <c r="C804" s="2">
        <v>5100000</v>
      </c>
      <c r="D804" s="2">
        <v>15200000</v>
      </c>
      <c r="E804" t="s">
        <v>16</v>
      </c>
      <c r="F804" t="s">
        <v>10</v>
      </c>
      <c r="G804" t="s">
        <v>12</v>
      </c>
      <c r="H804" s="3">
        <v>0</v>
      </c>
    </row>
    <row r="805" spans="1:8" ht="20.100000000000001" customHeight="1">
      <c r="A805" t="s">
        <v>817</v>
      </c>
      <c r="B805" s="3">
        <v>47</v>
      </c>
      <c r="C805" s="2">
        <v>5900000</v>
      </c>
      <c r="D805" s="2">
        <v>52400000</v>
      </c>
      <c r="E805" t="s">
        <v>9</v>
      </c>
      <c r="F805" t="s">
        <v>10</v>
      </c>
      <c r="G805" t="s">
        <v>12</v>
      </c>
      <c r="H805" s="3">
        <v>1</v>
      </c>
    </row>
    <row r="806" spans="1:8" ht="20.100000000000001" customHeight="1">
      <c r="A806" t="s">
        <v>818</v>
      </c>
      <c r="B806" s="3">
        <v>54</v>
      </c>
      <c r="C806" s="2">
        <v>2900000</v>
      </c>
      <c r="D806" s="2">
        <v>13300000</v>
      </c>
      <c r="E806" t="s">
        <v>9</v>
      </c>
      <c r="F806" t="s">
        <v>12</v>
      </c>
      <c r="G806" t="s">
        <v>10</v>
      </c>
      <c r="H806" s="3">
        <v>1</v>
      </c>
    </row>
    <row r="807" spans="1:8" ht="20.100000000000001" customHeight="1">
      <c r="A807" t="s">
        <v>819</v>
      </c>
      <c r="B807" s="3">
        <v>53</v>
      </c>
      <c r="C807" s="2">
        <v>7800000</v>
      </c>
      <c r="D807" s="2">
        <v>37100000</v>
      </c>
      <c r="E807" t="s">
        <v>14</v>
      </c>
      <c r="F807" t="s">
        <v>12</v>
      </c>
      <c r="G807" t="s">
        <v>10</v>
      </c>
      <c r="H807" s="3">
        <v>0</v>
      </c>
    </row>
    <row r="808" spans="1:8" ht="20.100000000000001" customHeight="1">
      <c r="A808" t="s">
        <v>820</v>
      </c>
      <c r="B808" s="3">
        <v>21</v>
      </c>
      <c r="C808" s="2">
        <v>4300000</v>
      </c>
      <c r="D808" s="2">
        <v>14000000</v>
      </c>
      <c r="E808" t="s">
        <v>14</v>
      </c>
      <c r="F808" t="s">
        <v>10</v>
      </c>
      <c r="G808" t="s">
        <v>12</v>
      </c>
      <c r="H808" s="3">
        <v>0</v>
      </c>
    </row>
    <row r="809" spans="1:8" ht="20.100000000000001" customHeight="1">
      <c r="A809" t="s">
        <v>821</v>
      </c>
      <c r="B809" s="3">
        <v>24</v>
      </c>
      <c r="C809" s="2">
        <v>3700000</v>
      </c>
      <c r="D809" s="2">
        <v>22100000</v>
      </c>
      <c r="E809" t="s">
        <v>9</v>
      </c>
      <c r="F809" t="s">
        <v>12</v>
      </c>
      <c r="G809" t="s">
        <v>12</v>
      </c>
      <c r="H809" s="3">
        <v>0</v>
      </c>
    </row>
    <row r="810" spans="1:8" ht="20.100000000000001" customHeight="1">
      <c r="A810" t="s">
        <v>822</v>
      </c>
      <c r="B810" s="3">
        <v>67</v>
      </c>
      <c r="C810" s="2">
        <v>4100000</v>
      </c>
      <c r="D810" s="2">
        <v>25900000</v>
      </c>
      <c r="E810" t="s">
        <v>31</v>
      </c>
      <c r="F810" t="s">
        <v>12</v>
      </c>
      <c r="G810" t="s">
        <v>12</v>
      </c>
      <c r="H810" s="3">
        <v>0</v>
      </c>
    </row>
    <row r="811" spans="1:8" ht="20.100000000000001" customHeight="1">
      <c r="A811" t="s">
        <v>823</v>
      </c>
      <c r="B811" s="3">
        <v>49</v>
      </c>
      <c r="C811" s="2">
        <v>5100000</v>
      </c>
      <c r="D811" s="2">
        <v>36500000</v>
      </c>
      <c r="E811" t="s">
        <v>9</v>
      </c>
      <c r="F811" t="s">
        <v>12</v>
      </c>
      <c r="G811" t="s">
        <v>10</v>
      </c>
      <c r="H811" s="3">
        <v>1</v>
      </c>
    </row>
    <row r="812" spans="1:8" ht="20.100000000000001" customHeight="1">
      <c r="A812" t="s">
        <v>824</v>
      </c>
      <c r="B812" s="3">
        <v>36</v>
      </c>
      <c r="C812" s="2">
        <v>1900000</v>
      </c>
      <c r="D812" s="2">
        <v>16000000</v>
      </c>
      <c r="E812" t="s">
        <v>9</v>
      </c>
      <c r="F812" t="s">
        <v>10</v>
      </c>
      <c r="G812" t="s">
        <v>12</v>
      </c>
      <c r="H812" s="3">
        <v>0</v>
      </c>
    </row>
    <row r="813" spans="1:8" ht="20.100000000000001" customHeight="1">
      <c r="A813" t="s">
        <v>825</v>
      </c>
      <c r="B813" s="3">
        <v>33</v>
      </c>
      <c r="C813" s="2">
        <v>8900000</v>
      </c>
      <c r="D813" s="2">
        <v>22900000</v>
      </c>
      <c r="E813" t="s">
        <v>9</v>
      </c>
      <c r="F813" t="s">
        <v>10</v>
      </c>
      <c r="G813" t="s">
        <v>10</v>
      </c>
      <c r="H813" s="3">
        <v>1</v>
      </c>
    </row>
    <row r="814" spans="1:8" ht="20.100000000000001" customHeight="1">
      <c r="A814" t="s">
        <v>826</v>
      </c>
      <c r="B814" s="3">
        <v>48</v>
      </c>
      <c r="C814" s="2">
        <v>5600000</v>
      </c>
      <c r="D814" s="2">
        <v>75200000</v>
      </c>
      <c r="E814" t="s">
        <v>14</v>
      </c>
      <c r="F814" t="s">
        <v>10</v>
      </c>
      <c r="G814" t="s">
        <v>12</v>
      </c>
      <c r="H814" s="3">
        <v>0</v>
      </c>
    </row>
    <row r="815" spans="1:8" ht="20.100000000000001" customHeight="1">
      <c r="A815" t="s">
        <v>827</v>
      </c>
      <c r="B815" s="3">
        <v>29</v>
      </c>
      <c r="C815" s="2">
        <v>3800000</v>
      </c>
      <c r="D815" s="2">
        <v>18100000</v>
      </c>
      <c r="E815" t="s">
        <v>9</v>
      </c>
      <c r="F815" t="s">
        <v>12</v>
      </c>
      <c r="G815" t="s">
        <v>10</v>
      </c>
      <c r="H815" s="3">
        <v>1</v>
      </c>
    </row>
    <row r="816" spans="1:8" ht="20.100000000000001" customHeight="1">
      <c r="A816" t="s">
        <v>828</v>
      </c>
      <c r="B816" s="3">
        <v>47</v>
      </c>
      <c r="C816" s="2">
        <v>6400000</v>
      </c>
      <c r="D816" s="2">
        <v>13800000</v>
      </c>
      <c r="E816" t="s">
        <v>9</v>
      </c>
      <c r="F816" t="s">
        <v>12</v>
      </c>
      <c r="G816" t="s">
        <v>10</v>
      </c>
      <c r="H816" s="3">
        <v>0</v>
      </c>
    </row>
    <row r="817" spans="1:8" ht="20.100000000000001" customHeight="1">
      <c r="A817" t="s">
        <v>829</v>
      </c>
      <c r="B817" s="3">
        <v>59</v>
      </c>
      <c r="C817" s="2">
        <v>8000000</v>
      </c>
      <c r="D817" s="2">
        <v>75600000</v>
      </c>
      <c r="E817" t="s">
        <v>16</v>
      </c>
      <c r="F817" t="s">
        <v>10</v>
      </c>
      <c r="G817" t="s">
        <v>12</v>
      </c>
      <c r="H817" s="3">
        <v>1</v>
      </c>
    </row>
    <row r="818" spans="1:8" ht="20.100000000000001" customHeight="1">
      <c r="A818" t="s">
        <v>830</v>
      </c>
      <c r="B818" s="3">
        <v>46</v>
      </c>
      <c r="C818" s="2">
        <v>4000000</v>
      </c>
      <c r="D818" s="2">
        <v>17600000</v>
      </c>
      <c r="E818" t="s">
        <v>9</v>
      </c>
      <c r="F818" t="s">
        <v>10</v>
      </c>
      <c r="G818" t="s">
        <v>10</v>
      </c>
      <c r="H818" s="3">
        <v>1</v>
      </c>
    </row>
    <row r="819" spans="1:8" ht="20.100000000000001" customHeight="1">
      <c r="A819" t="s">
        <v>831</v>
      </c>
      <c r="B819" s="3">
        <v>50</v>
      </c>
      <c r="C819" s="2">
        <v>4800000</v>
      </c>
      <c r="D819" s="2">
        <v>67800000</v>
      </c>
      <c r="E819" t="s">
        <v>16</v>
      </c>
      <c r="F819" t="s">
        <v>12</v>
      </c>
      <c r="G819" t="s">
        <v>10</v>
      </c>
      <c r="H819" s="3">
        <v>1</v>
      </c>
    </row>
    <row r="820" spans="1:8" ht="20.100000000000001" customHeight="1">
      <c r="A820" t="s">
        <v>832</v>
      </c>
      <c r="B820" s="3">
        <v>27</v>
      </c>
      <c r="C820" s="2">
        <v>5300000</v>
      </c>
      <c r="D820" s="2">
        <v>37100000</v>
      </c>
      <c r="E820" t="s">
        <v>16</v>
      </c>
      <c r="F820" t="s">
        <v>12</v>
      </c>
      <c r="G820" t="s">
        <v>12</v>
      </c>
      <c r="H820" s="3">
        <v>1</v>
      </c>
    </row>
    <row r="821" spans="1:8" ht="20.100000000000001" customHeight="1">
      <c r="A821" t="s">
        <v>833</v>
      </c>
      <c r="B821" s="3">
        <v>37</v>
      </c>
      <c r="C821" s="2">
        <v>5200000</v>
      </c>
      <c r="D821" s="2">
        <v>85500000</v>
      </c>
      <c r="E821" t="s">
        <v>14</v>
      </c>
      <c r="F821" t="s">
        <v>10</v>
      </c>
      <c r="G821" t="s">
        <v>10</v>
      </c>
      <c r="H821" s="3">
        <v>0</v>
      </c>
    </row>
    <row r="822" spans="1:8" ht="20.100000000000001" customHeight="1">
      <c r="A822" t="s">
        <v>834</v>
      </c>
      <c r="B822" s="3">
        <v>47</v>
      </c>
      <c r="C822" s="2">
        <v>9300000</v>
      </c>
      <c r="D822" s="2">
        <v>48400000</v>
      </c>
      <c r="E822" t="s">
        <v>14</v>
      </c>
      <c r="F822" t="s">
        <v>12</v>
      </c>
      <c r="G822" t="s">
        <v>12</v>
      </c>
      <c r="H822" s="3">
        <v>0</v>
      </c>
    </row>
    <row r="823" spans="1:8" ht="20.100000000000001" customHeight="1">
      <c r="A823" t="s">
        <v>835</v>
      </c>
      <c r="B823" s="3">
        <v>51</v>
      </c>
      <c r="C823" s="2">
        <v>4200000</v>
      </c>
      <c r="D823" s="2">
        <v>11200000</v>
      </c>
      <c r="E823" t="s">
        <v>9</v>
      </c>
      <c r="F823" t="s">
        <v>12</v>
      </c>
      <c r="G823" t="s">
        <v>10</v>
      </c>
      <c r="H823" s="3">
        <v>0</v>
      </c>
    </row>
    <row r="824" spans="1:8" ht="20.100000000000001" customHeight="1">
      <c r="A824" t="s">
        <v>836</v>
      </c>
      <c r="B824" s="3">
        <v>70</v>
      </c>
      <c r="C824" s="2">
        <v>4500000</v>
      </c>
      <c r="D824" s="2">
        <v>26900000</v>
      </c>
      <c r="E824" t="s">
        <v>9</v>
      </c>
      <c r="F824" t="s">
        <v>10</v>
      </c>
      <c r="G824" t="s">
        <v>12</v>
      </c>
      <c r="H824" s="3">
        <v>0</v>
      </c>
    </row>
    <row r="825" spans="1:8" ht="20.100000000000001" customHeight="1">
      <c r="A825" t="s">
        <v>837</v>
      </c>
      <c r="B825" s="3">
        <v>50</v>
      </c>
      <c r="C825" s="2">
        <v>3900000</v>
      </c>
      <c r="D825" s="2">
        <v>10200000</v>
      </c>
      <c r="E825" t="s">
        <v>14</v>
      </c>
      <c r="F825" t="s">
        <v>12</v>
      </c>
      <c r="G825" t="s">
        <v>12</v>
      </c>
      <c r="H825" s="3">
        <v>0</v>
      </c>
    </row>
    <row r="826" spans="1:8" ht="20.100000000000001" customHeight="1">
      <c r="A826" t="s">
        <v>838</v>
      </c>
      <c r="B826" s="3">
        <v>21</v>
      </c>
      <c r="C826" s="2">
        <v>12800000</v>
      </c>
      <c r="D826" s="2">
        <v>15300000</v>
      </c>
      <c r="E826" t="s">
        <v>9</v>
      </c>
      <c r="F826" t="s">
        <v>10</v>
      </c>
      <c r="G826" t="s">
        <v>12</v>
      </c>
      <c r="H826" s="3">
        <v>0</v>
      </c>
    </row>
    <row r="827" spans="1:8" ht="20.100000000000001" customHeight="1">
      <c r="A827" t="s">
        <v>839</v>
      </c>
      <c r="B827" s="3">
        <v>35</v>
      </c>
      <c r="C827" s="2">
        <v>5600000</v>
      </c>
      <c r="D827" s="2">
        <v>37500000</v>
      </c>
      <c r="E827" t="s">
        <v>14</v>
      </c>
      <c r="F827" t="s">
        <v>10</v>
      </c>
      <c r="G827" t="s">
        <v>12</v>
      </c>
      <c r="H827" s="3">
        <v>0</v>
      </c>
    </row>
    <row r="828" spans="1:8" ht="20.100000000000001" customHeight="1">
      <c r="A828" t="s">
        <v>840</v>
      </c>
      <c r="B828" s="3">
        <v>41</v>
      </c>
      <c r="C828" s="2">
        <v>4100000</v>
      </c>
      <c r="D828" s="2">
        <v>8700000</v>
      </c>
      <c r="E828" t="s">
        <v>16</v>
      </c>
      <c r="F828" t="s">
        <v>10</v>
      </c>
      <c r="G828" t="s">
        <v>12</v>
      </c>
      <c r="H828" s="3">
        <v>0</v>
      </c>
    </row>
    <row r="829" spans="1:8" ht="20.100000000000001" customHeight="1">
      <c r="A829" t="s">
        <v>841</v>
      </c>
      <c r="B829" s="3">
        <v>66</v>
      </c>
      <c r="C829" s="2">
        <v>4400000</v>
      </c>
      <c r="D829" s="2">
        <v>18900000</v>
      </c>
      <c r="E829" t="s">
        <v>31</v>
      </c>
      <c r="F829" t="s">
        <v>12</v>
      </c>
      <c r="G829" t="s">
        <v>10</v>
      </c>
      <c r="H829" s="3">
        <v>0</v>
      </c>
    </row>
    <row r="830" spans="1:8" ht="20.100000000000001" customHeight="1">
      <c r="A830" t="s">
        <v>842</v>
      </c>
      <c r="B830" s="3">
        <v>34</v>
      </c>
      <c r="C830" s="2">
        <v>4600000</v>
      </c>
      <c r="D830" s="2">
        <v>40700000</v>
      </c>
      <c r="E830" t="s">
        <v>9</v>
      </c>
      <c r="F830" t="s">
        <v>12</v>
      </c>
      <c r="G830" t="s">
        <v>12</v>
      </c>
      <c r="H830" s="3">
        <v>0</v>
      </c>
    </row>
    <row r="831" spans="1:8" ht="20.100000000000001" customHeight="1">
      <c r="A831" t="s">
        <v>843</v>
      </c>
      <c r="B831" s="3">
        <v>38</v>
      </c>
      <c r="C831" s="2">
        <v>5000000</v>
      </c>
      <c r="D831" s="2">
        <v>18000000</v>
      </c>
      <c r="E831" t="s">
        <v>14</v>
      </c>
      <c r="F831" t="s">
        <v>10</v>
      </c>
      <c r="G831" t="s">
        <v>10</v>
      </c>
      <c r="H831" s="3">
        <v>0</v>
      </c>
    </row>
    <row r="832" spans="1:8" ht="20.100000000000001" customHeight="1">
      <c r="A832" t="s">
        <v>844</v>
      </c>
      <c r="B832" s="3">
        <v>41</v>
      </c>
      <c r="C832" s="2">
        <v>9500000</v>
      </c>
      <c r="D832" s="2">
        <v>16700000</v>
      </c>
      <c r="E832" t="s">
        <v>16</v>
      </c>
      <c r="F832" t="s">
        <v>10</v>
      </c>
      <c r="G832" t="s">
        <v>12</v>
      </c>
      <c r="H832" s="3">
        <v>0</v>
      </c>
    </row>
    <row r="833" spans="1:8" ht="20.100000000000001" customHeight="1">
      <c r="A833" t="s">
        <v>845</v>
      </c>
      <c r="B833" s="3">
        <v>44</v>
      </c>
      <c r="C833" s="2">
        <v>9500000</v>
      </c>
      <c r="D833" s="2">
        <v>155000000</v>
      </c>
      <c r="E833" t="s">
        <v>9</v>
      </c>
      <c r="F833" t="s">
        <v>12</v>
      </c>
      <c r="G833" t="s">
        <v>12</v>
      </c>
      <c r="H833" s="3">
        <v>1</v>
      </c>
    </row>
    <row r="834" spans="1:8" ht="20.100000000000001" customHeight="1">
      <c r="A834" t="s">
        <v>846</v>
      </c>
      <c r="B834" s="3">
        <v>46</v>
      </c>
      <c r="C834" s="2">
        <v>3600000</v>
      </c>
      <c r="D834" s="2">
        <v>6600000</v>
      </c>
      <c r="E834" t="s">
        <v>9</v>
      </c>
      <c r="F834" t="s">
        <v>10</v>
      </c>
      <c r="G834" t="s">
        <v>12</v>
      </c>
      <c r="H834" s="3">
        <v>0</v>
      </c>
    </row>
    <row r="835" spans="1:8" ht="20.100000000000001" customHeight="1">
      <c r="A835" t="s">
        <v>847</v>
      </c>
      <c r="B835" s="3">
        <v>44</v>
      </c>
      <c r="C835" s="2">
        <v>9300000</v>
      </c>
      <c r="D835" s="2">
        <v>155000000</v>
      </c>
      <c r="E835" t="s">
        <v>16</v>
      </c>
      <c r="F835" t="s">
        <v>12</v>
      </c>
      <c r="G835" t="s">
        <v>10</v>
      </c>
      <c r="H835" s="3">
        <v>1</v>
      </c>
    </row>
    <row r="836" spans="1:8" ht="20.100000000000001" customHeight="1">
      <c r="A836" t="s">
        <v>848</v>
      </c>
      <c r="B836" s="3">
        <v>37</v>
      </c>
      <c r="C836" s="2">
        <v>3100000</v>
      </c>
      <c r="D836" s="2">
        <v>7000000</v>
      </c>
      <c r="E836" t="s">
        <v>16</v>
      </c>
      <c r="F836" t="s">
        <v>10</v>
      </c>
      <c r="G836" t="s">
        <v>12</v>
      </c>
      <c r="H836" s="3">
        <v>0</v>
      </c>
    </row>
    <row r="837" spans="1:8" ht="20.100000000000001" customHeight="1">
      <c r="A837" t="s">
        <v>849</v>
      </c>
      <c r="B837" s="3">
        <v>38</v>
      </c>
      <c r="C837" s="2">
        <v>8500000</v>
      </c>
      <c r="D837" s="2">
        <v>65600000</v>
      </c>
      <c r="E837" t="s">
        <v>16</v>
      </c>
      <c r="F837" t="s">
        <v>10</v>
      </c>
      <c r="G837" t="s">
        <v>12</v>
      </c>
      <c r="H837" s="3">
        <v>0</v>
      </c>
    </row>
    <row r="838" spans="1:8" ht="20.100000000000001" customHeight="1">
      <c r="A838" t="s">
        <v>850</v>
      </c>
      <c r="B838" s="3">
        <v>25</v>
      </c>
      <c r="C838" s="2">
        <v>5300000</v>
      </c>
      <c r="D838" s="2">
        <v>5400000</v>
      </c>
      <c r="E838" t="s">
        <v>9</v>
      </c>
      <c r="F838" t="s">
        <v>10</v>
      </c>
      <c r="G838" t="s">
        <v>12</v>
      </c>
      <c r="H838" s="3">
        <v>0</v>
      </c>
    </row>
    <row r="839" spans="1:8" ht="20.100000000000001" customHeight="1">
      <c r="A839" t="s">
        <v>851</v>
      </c>
      <c r="B839" s="3">
        <v>28</v>
      </c>
      <c r="C839" s="2">
        <v>9400000</v>
      </c>
      <c r="D839" s="2">
        <v>12400000</v>
      </c>
      <c r="E839" t="s">
        <v>9</v>
      </c>
      <c r="F839" t="s">
        <v>12</v>
      </c>
      <c r="G839" t="s">
        <v>10</v>
      </c>
      <c r="H839" s="3">
        <v>1</v>
      </c>
    </row>
    <row r="840" spans="1:8" ht="20.100000000000001" customHeight="1">
      <c r="A840" t="s">
        <v>852</v>
      </c>
      <c r="B840" s="3">
        <v>47</v>
      </c>
      <c r="C840" s="2">
        <v>8800000</v>
      </c>
      <c r="D840" s="2">
        <v>35800000</v>
      </c>
      <c r="E840" t="s">
        <v>9</v>
      </c>
      <c r="F840" t="s">
        <v>12</v>
      </c>
      <c r="G840" t="s">
        <v>10</v>
      </c>
      <c r="H840" s="3">
        <v>0</v>
      </c>
    </row>
    <row r="841" spans="1:8" ht="20.100000000000001" customHeight="1">
      <c r="A841" t="s">
        <v>853</v>
      </c>
      <c r="B841" s="3">
        <v>43</v>
      </c>
      <c r="C841" s="2">
        <v>3900000</v>
      </c>
      <c r="D841" s="2">
        <v>11800000</v>
      </c>
      <c r="E841" t="s">
        <v>16</v>
      </c>
      <c r="F841" t="s">
        <v>12</v>
      </c>
      <c r="G841" t="s">
        <v>10</v>
      </c>
      <c r="H841" s="3">
        <v>1</v>
      </c>
    </row>
    <row r="842" spans="1:8" ht="20.100000000000001" customHeight="1">
      <c r="A842" t="s">
        <v>854</v>
      </c>
      <c r="B842" s="3">
        <v>21</v>
      </c>
      <c r="C842" s="2">
        <v>3200000</v>
      </c>
      <c r="D842" s="2">
        <v>30800000</v>
      </c>
      <c r="E842" t="s">
        <v>9</v>
      </c>
      <c r="F842" t="s">
        <v>12</v>
      </c>
      <c r="G842" t="s">
        <v>12</v>
      </c>
      <c r="H842" s="3">
        <v>0</v>
      </c>
    </row>
    <row r="843" spans="1:8" ht="20.100000000000001" customHeight="1">
      <c r="A843" t="s">
        <v>855</v>
      </c>
      <c r="B843" s="3">
        <v>48</v>
      </c>
      <c r="C843" s="2">
        <v>4500000</v>
      </c>
      <c r="D843" s="2">
        <v>12700000</v>
      </c>
      <c r="E843" t="s">
        <v>9</v>
      </c>
      <c r="F843" t="s">
        <v>12</v>
      </c>
      <c r="G843" t="s">
        <v>12</v>
      </c>
      <c r="H843" s="3">
        <v>0</v>
      </c>
    </row>
    <row r="844" spans="1:8" ht="20.100000000000001" customHeight="1">
      <c r="A844" t="s">
        <v>856</v>
      </c>
      <c r="B844" s="3">
        <v>43</v>
      </c>
      <c r="C844" s="2">
        <v>11600000</v>
      </c>
      <c r="D844" s="2">
        <v>85700000</v>
      </c>
      <c r="E844" t="s">
        <v>9</v>
      </c>
      <c r="F844" t="s">
        <v>12</v>
      </c>
      <c r="G844" t="s">
        <v>12</v>
      </c>
      <c r="H844" s="3">
        <v>1</v>
      </c>
    </row>
    <row r="845" spans="1:8" ht="20.100000000000001" customHeight="1">
      <c r="A845" t="s">
        <v>857</v>
      </c>
      <c r="B845" s="3">
        <v>21</v>
      </c>
      <c r="C845" s="2">
        <v>8400000</v>
      </c>
      <c r="D845" s="2">
        <v>17200000</v>
      </c>
      <c r="E845" t="s">
        <v>9</v>
      </c>
      <c r="F845" t="s">
        <v>10</v>
      </c>
      <c r="G845" t="s">
        <v>10</v>
      </c>
      <c r="H845" s="3">
        <v>0</v>
      </c>
    </row>
    <row r="846" spans="1:8" ht="20.100000000000001" customHeight="1">
      <c r="A846" t="s">
        <v>858</v>
      </c>
      <c r="B846" s="3">
        <v>24</v>
      </c>
      <c r="C846" s="2">
        <v>4200000</v>
      </c>
      <c r="D846" s="2">
        <v>9900000</v>
      </c>
      <c r="E846" t="s">
        <v>16</v>
      </c>
      <c r="F846" t="s">
        <v>10</v>
      </c>
      <c r="G846" t="s">
        <v>12</v>
      </c>
      <c r="H846" s="3">
        <v>0</v>
      </c>
    </row>
    <row r="847" spans="1:8" ht="20.100000000000001" customHeight="1">
      <c r="A847" t="s">
        <v>859</v>
      </c>
      <c r="B847" s="3">
        <v>57</v>
      </c>
      <c r="C847" s="2">
        <v>4600000</v>
      </c>
      <c r="D847" s="2">
        <v>12100000</v>
      </c>
      <c r="E847" t="s">
        <v>31</v>
      </c>
      <c r="F847" t="s">
        <v>10</v>
      </c>
      <c r="G847" t="s">
        <v>12</v>
      </c>
      <c r="H847" s="3">
        <v>1</v>
      </c>
    </row>
    <row r="848" spans="1:8" ht="20.100000000000001" customHeight="1">
      <c r="A848" t="s">
        <v>860</v>
      </c>
      <c r="B848" s="3">
        <v>28</v>
      </c>
      <c r="C848" s="2">
        <v>7600000</v>
      </c>
      <c r="D848" s="2">
        <v>6600000</v>
      </c>
      <c r="E848" t="s">
        <v>16</v>
      </c>
      <c r="F848" t="s">
        <v>12</v>
      </c>
      <c r="G848" t="s">
        <v>12</v>
      </c>
      <c r="H848" s="3">
        <v>1</v>
      </c>
    </row>
    <row r="849" spans="1:8" ht="20.100000000000001" customHeight="1">
      <c r="A849" t="s">
        <v>861</v>
      </c>
      <c r="B849" s="3">
        <v>29</v>
      </c>
      <c r="C849" s="2">
        <v>3900000</v>
      </c>
      <c r="D849" s="2">
        <v>4100000</v>
      </c>
      <c r="E849" t="s">
        <v>16</v>
      </c>
      <c r="F849" t="s">
        <v>12</v>
      </c>
      <c r="G849" t="s">
        <v>10</v>
      </c>
      <c r="H849" s="3">
        <v>0</v>
      </c>
    </row>
    <row r="850" spans="1:8" ht="20.100000000000001" customHeight="1">
      <c r="A850" t="s">
        <v>862</v>
      </c>
      <c r="B850" s="3">
        <v>48</v>
      </c>
      <c r="C850" s="2">
        <v>5800000</v>
      </c>
      <c r="D850" s="2">
        <v>89200000</v>
      </c>
      <c r="E850" t="s">
        <v>14</v>
      </c>
      <c r="F850" t="s">
        <v>10</v>
      </c>
      <c r="G850" t="s">
        <v>10</v>
      </c>
      <c r="H850" s="3">
        <v>0</v>
      </c>
    </row>
    <row r="851" spans="1:8" ht="20.100000000000001" customHeight="1">
      <c r="A851" t="s">
        <v>863</v>
      </c>
      <c r="B851" s="3">
        <v>35</v>
      </c>
      <c r="C851" s="2">
        <v>5100000</v>
      </c>
      <c r="D851" s="2">
        <v>24300000</v>
      </c>
      <c r="E851" t="s">
        <v>9</v>
      </c>
      <c r="F851" t="s">
        <v>12</v>
      </c>
      <c r="G851" t="s">
        <v>12</v>
      </c>
      <c r="H851" s="3">
        <v>0</v>
      </c>
    </row>
    <row r="852" spans="1:8" ht="20.100000000000001" customHeight="1">
      <c r="A852" t="s">
        <v>864</v>
      </c>
      <c r="B852" s="3">
        <v>49</v>
      </c>
      <c r="C852" s="2">
        <v>5700000</v>
      </c>
      <c r="D852" s="2">
        <v>50100000</v>
      </c>
      <c r="E852" t="s">
        <v>16</v>
      </c>
      <c r="F852" t="s">
        <v>12</v>
      </c>
      <c r="G852" t="s">
        <v>10</v>
      </c>
      <c r="H852" s="3">
        <v>1</v>
      </c>
    </row>
    <row r="853" spans="1:8" ht="20.100000000000001" customHeight="1">
      <c r="A853" t="s">
        <v>865</v>
      </c>
      <c r="B853" s="3">
        <v>62</v>
      </c>
      <c r="C853" s="2">
        <v>7000000</v>
      </c>
      <c r="D853" s="2">
        <v>7000000</v>
      </c>
      <c r="E853" t="s">
        <v>16</v>
      </c>
      <c r="F853" t="s">
        <v>10</v>
      </c>
      <c r="G853" t="s">
        <v>12</v>
      </c>
      <c r="H853" s="3">
        <v>0</v>
      </c>
    </row>
    <row r="854" spans="1:8" ht="20.100000000000001" customHeight="1">
      <c r="A854" t="s">
        <v>866</v>
      </c>
      <c r="B854" s="3">
        <v>45</v>
      </c>
      <c r="C854" s="2">
        <v>7300000</v>
      </c>
      <c r="D854" s="2">
        <v>34400000</v>
      </c>
      <c r="E854" t="s">
        <v>9</v>
      </c>
      <c r="F854" t="s">
        <v>12</v>
      </c>
      <c r="G854" t="s">
        <v>12</v>
      </c>
      <c r="H854" s="3">
        <v>0</v>
      </c>
    </row>
    <row r="855" spans="1:8" ht="20.100000000000001" customHeight="1">
      <c r="A855" t="s">
        <v>867</v>
      </c>
      <c r="B855" s="3">
        <v>26</v>
      </c>
      <c r="C855" s="2">
        <v>5800000</v>
      </c>
      <c r="D855" s="2">
        <v>23400000</v>
      </c>
      <c r="E855" t="s">
        <v>14</v>
      </c>
      <c r="F855" t="s">
        <v>10</v>
      </c>
      <c r="G855" t="s">
        <v>10</v>
      </c>
      <c r="H855" s="3">
        <v>0</v>
      </c>
    </row>
    <row r="856" spans="1:8" ht="20.100000000000001" customHeight="1">
      <c r="A856" t="s">
        <v>868</v>
      </c>
      <c r="B856" s="3">
        <v>31</v>
      </c>
      <c r="C856" s="2">
        <v>4200000</v>
      </c>
      <c r="D856" s="2">
        <v>13200000</v>
      </c>
      <c r="E856" t="s">
        <v>9</v>
      </c>
      <c r="F856" t="s">
        <v>12</v>
      </c>
      <c r="G856" t="s">
        <v>12</v>
      </c>
      <c r="H856" s="3">
        <v>1</v>
      </c>
    </row>
    <row r="857" spans="1:8" ht="20.100000000000001" customHeight="1">
      <c r="A857" t="s">
        <v>869</v>
      </c>
      <c r="B857" s="3">
        <v>30</v>
      </c>
      <c r="C857" s="2">
        <v>5700000</v>
      </c>
      <c r="D857" s="2">
        <v>18100000</v>
      </c>
      <c r="E857" t="s">
        <v>9</v>
      </c>
      <c r="F857" t="s">
        <v>10</v>
      </c>
      <c r="G857" t="s">
        <v>12</v>
      </c>
      <c r="H857" s="3">
        <v>0</v>
      </c>
    </row>
    <row r="858" spans="1:8" ht="20.100000000000001" customHeight="1">
      <c r="A858" t="s">
        <v>870</v>
      </c>
      <c r="B858" s="3">
        <v>39</v>
      </c>
      <c r="C858" s="2">
        <v>5900000</v>
      </c>
      <c r="D858" s="2">
        <v>14000000</v>
      </c>
      <c r="E858" t="s">
        <v>9</v>
      </c>
      <c r="F858" t="s">
        <v>12</v>
      </c>
      <c r="G858" t="s">
        <v>10</v>
      </c>
      <c r="H858" s="3">
        <v>0</v>
      </c>
    </row>
    <row r="859" spans="1:8" ht="20.100000000000001" customHeight="1">
      <c r="A859" t="s">
        <v>871</v>
      </c>
      <c r="B859" s="3">
        <v>48</v>
      </c>
      <c r="C859" s="2">
        <v>8100000</v>
      </c>
      <c r="D859" s="2">
        <v>155000000</v>
      </c>
      <c r="E859" t="s">
        <v>14</v>
      </c>
      <c r="F859" t="s">
        <v>12</v>
      </c>
      <c r="G859" t="s">
        <v>10</v>
      </c>
      <c r="H859" s="3">
        <v>1</v>
      </c>
    </row>
    <row r="860" spans="1:8" ht="20.100000000000001" customHeight="1">
      <c r="A860" t="s">
        <v>872</v>
      </c>
      <c r="B860" s="3">
        <v>31</v>
      </c>
      <c r="C860" s="2">
        <v>16100000</v>
      </c>
      <c r="D860" s="2">
        <v>42100000</v>
      </c>
      <c r="E860" t="s">
        <v>16</v>
      </c>
      <c r="F860" t="s">
        <v>12</v>
      </c>
      <c r="G860" t="s">
        <v>12</v>
      </c>
      <c r="H860" s="3">
        <v>0</v>
      </c>
    </row>
    <row r="861" spans="1:8" ht="20.100000000000001" customHeight="1">
      <c r="A861" t="s">
        <v>873</v>
      </c>
      <c r="B861" s="3">
        <v>47</v>
      </c>
      <c r="C861" s="2">
        <v>4900000</v>
      </c>
      <c r="D861" s="2">
        <v>41300000</v>
      </c>
      <c r="E861" t="s">
        <v>14</v>
      </c>
      <c r="F861" t="s">
        <v>10</v>
      </c>
      <c r="G861" t="s">
        <v>10</v>
      </c>
      <c r="H861" s="3">
        <v>1</v>
      </c>
    </row>
    <row r="862" spans="1:8" ht="20.100000000000001" customHeight="1">
      <c r="A862" t="s">
        <v>874</v>
      </c>
      <c r="B862" s="3">
        <v>70</v>
      </c>
      <c r="C862" s="2">
        <v>3000000</v>
      </c>
      <c r="D862" s="2">
        <v>51500000</v>
      </c>
      <c r="E862" t="s">
        <v>31</v>
      </c>
      <c r="F862" t="s">
        <v>12</v>
      </c>
      <c r="G862" t="s">
        <v>10</v>
      </c>
      <c r="H862" s="3">
        <v>1</v>
      </c>
    </row>
    <row r="863" spans="1:8" ht="20.100000000000001" customHeight="1">
      <c r="A863" t="s">
        <v>875</v>
      </c>
      <c r="B863" s="3">
        <v>45</v>
      </c>
      <c r="C863" s="2">
        <v>9700000</v>
      </c>
      <c r="D863" s="2">
        <v>155000000</v>
      </c>
      <c r="E863" t="s">
        <v>9</v>
      </c>
      <c r="F863" t="s">
        <v>10</v>
      </c>
      <c r="G863" t="s">
        <v>10</v>
      </c>
      <c r="H863" s="3">
        <v>1</v>
      </c>
    </row>
    <row r="864" spans="1:8" ht="20.100000000000001" customHeight="1">
      <c r="A864" t="s">
        <v>876</v>
      </c>
      <c r="B864" s="3">
        <v>42</v>
      </c>
      <c r="C864" s="2">
        <v>14700000</v>
      </c>
      <c r="D864" s="2">
        <v>82200000</v>
      </c>
      <c r="E864" t="s">
        <v>9</v>
      </c>
      <c r="F864" t="s">
        <v>12</v>
      </c>
      <c r="G864" t="s">
        <v>12</v>
      </c>
      <c r="H864" s="3">
        <v>0</v>
      </c>
    </row>
    <row r="865" spans="1:8" ht="20.100000000000001" customHeight="1">
      <c r="A865" t="s">
        <v>877</v>
      </c>
      <c r="B865" s="3">
        <v>51</v>
      </c>
      <c r="C865" s="2">
        <v>4900000</v>
      </c>
      <c r="D865" s="2">
        <v>17000000</v>
      </c>
      <c r="E865" t="s">
        <v>16</v>
      </c>
      <c r="F865" t="s">
        <v>12</v>
      </c>
      <c r="G865" t="s">
        <v>10</v>
      </c>
      <c r="H865" s="3">
        <v>0</v>
      </c>
    </row>
    <row r="866" spans="1:8" ht="20.100000000000001" customHeight="1">
      <c r="A866" t="s">
        <v>878</v>
      </c>
      <c r="B866" s="3">
        <v>53</v>
      </c>
      <c r="C866" s="2">
        <v>7600000</v>
      </c>
      <c r="D866" s="2">
        <v>29400000</v>
      </c>
      <c r="E866" t="s">
        <v>14</v>
      </c>
      <c r="F866" t="s">
        <v>12</v>
      </c>
      <c r="G866" t="s">
        <v>12</v>
      </c>
      <c r="H866" s="3">
        <v>0</v>
      </c>
    </row>
    <row r="867" spans="1:8" ht="20.100000000000001" customHeight="1">
      <c r="A867" t="s">
        <v>879</v>
      </c>
      <c r="B867" s="3">
        <v>34</v>
      </c>
      <c r="C867" s="2">
        <v>7800000</v>
      </c>
      <c r="D867" s="2">
        <v>27000000</v>
      </c>
      <c r="E867" t="s">
        <v>9</v>
      </c>
      <c r="F867" t="s">
        <v>12</v>
      </c>
      <c r="G867" t="s">
        <v>10</v>
      </c>
      <c r="H867" s="3">
        <v>0</v>
      </c>
    </row>
    <row r="868" spans="1:8" ht="20.100000000000001" customHeight="1">
      <c r="A868" t="s">
        <v>880</v>
      </c>
      <c r="B868" s="3">
        <v>68</v>
      </c>
      <c r="C868" s="2">
        <v>3100000</v>
      </c>
      <c r="D868" s="2">
        <v>11100000</v>
      </c>
      <c r="E868" t="s">
        <v>31</v>
      </c>
      <c r="F868" t="s">
        <v>12</v>
      </c>
      <c r="G868" t="s">
        <v>10</v>
      </c>
      <c r="H868" s="3">
        <v>1</v>
      </c>
    </row>
    <row r="869" spans="1:8" ht="20.100000000000001" customHeight="1">
      <c r="A869" t="s">
        <v>881</v>
      </c>
      <c r="B869" s="3">
        <v>50</v>
      </c>
      <c r="C869" s="2">
        <v>3900000</v>
      </c>
      <c r="D869" s="2">
        <v>13000000</v>
      </c>
      <c r="E869" t="s">
        <v>9</v>
      </c>
      <c r="F869" t="s">
        <v>10</v>
      </c>
      <c r="G869" t="s">
        <v>10</v>
      </c>
      <c r="H869" s="3">
        <v>0</v>
      </c>
    </row>
    <row r="870" spans="1:8" ht="20.100000000000001" customHeight="1">
      <c r="A870" t="s">
        <v>882</v>
      </c>
      <c r="B870" s="3">
        <v>26</v>
      </c>
      <c r="C870" s="2">
        <v>5300000</v>
      </c>
      <c r="D870" s="2">
        <v>15700000</v>
      </c>
      <c r="E870" t="s">
        <v>14</v>
      </c>
      <c r="F870" t="s">
        <v>10</v>
      </c>
      <c r="G870" t="s">
        <v>10</v>
      </c>
      <c r="H870" s="3">
        <v>0</v>
      </c>
    </row>
    <row r="871" spans="1:8" ht="20.100000000000001" customHeight="1">
      <c r="A871" t="s">
        <v>883</v>
      </c>
      <c r="B871" s="3">
        <v>51</v>
      </c>
      <c r="C871" s="2">
        <v>5800000</v>
      </c>
      <c r="D871" s="2">
        <v>24800000</v>
      </c>
      <c r="E871" t="s">
        <v>14</v>
      </c>
      <c r="F871" t="s">
        <v>12</v>
      </c>
      <c r="G871" t="s">
        <v>12</v>
      </c>
      <c r="H871" s="3">
        <v>0</v>
      </c>
    </row>
    <row r="872" spans="1:8" ht="20.100000000000001" customHeight="1">
      <c r="A872" t="s">
        <v>884</v>
      </c>
      <c r="B872" s="3">
        <v>54</v>
      </c>
      <c r="C872" s="2">
        <v>6800000</v>
      </c>
      <c r="D872" s="2">
        <v>49900000</v>
      </c>
      <c r="E872" t="s">
        <v>9</v>
      </c>
      <c r="F872" t="s">
        <v>10</v>
      </c>
      <c r="G872" t="s">
        <v>10</v>
      </c>
      <c r="H872" s="3">
        <v>0</v>
      </c>
    </row>
    <row r="873" spans="1:8" ht="20.100000000000001" customHeight="1">
      <c r="A873" t="s">
        <v>885</v>
      </c>
      <c r="B873" s="3">
        <v>21</v>
      </c>
      <c r="C873" s="2">
        <v>12000000</v>
      </c>
      <c r="D873" s="2">
        <v>47500000</v>
      </c>
      <c r="E873" t="s">
        <v>16</v>
      </c>
      <c r="F873" t="s">
        <v>10</v>
      </c>
      <c r="G873" t="s">
        <v>12</v>
      </c>
      <c r="H873" s="3">
        <v>0</v>
      </c>
    </row>
    <row r="874" spans="1:8" ht="20.100000000000001" customHeight="1">
      <c r="A874" t="s">
        <v>886</v>
      </c>
      <c r="B874" s="3">
        <v>56</v>
      </c>
      <c r="C874" s="2">
        <v>5500000</v>
      </c>
      <c r="D874" s="2">
        <v>50600000</v>
      </c>
      <c r="E874" t="s">
        <v>9</v>
      </c>
      <c r="F874" t="s">
        <v>10</v>
      </c>
      <c r="G874" t="s">
        <v>10</v>
      </c>
      <c r="H874" s="3">
        <v>0</v>
      </c>
    </row>
    <row r="875" spans="1:8" ht="20.100000000000001" customHeight="1">
      <c r="A875" t="s">
        <v>887</v>
      </c>
      <c r="B875" s="3">
        <v>41</v>
      </c>
      <c r="C875" s="2">
        <v>6100000</v>
      </c>
      <c r="D875" s="2">
        <v>7300000</v>
      </c>
      <c r="E875" t="s">
        <v>9</v>
      </c>
      <c r="F875" t="s">
        <v>10</v>
      </c>
      <c r="G875" t="s">
        <v>12</v>
      </c>
      <c r="H875" s="3">
        <v>0</v>
      </c>
    </row>
    <row r="876" spans="1:8" ht="20.100000000000001" customHeight="1">
      <c r="A876" t="s">
        <v>888</v>
      </c>
      <c r="B876" s="3">
        <v>46</v>
      </c>
      <c r="C876" s="2">
        <v>5900000</v>
      </c>
      <c r="D876" s="2">
        <v>20500000</v>
      </c>
      <c r="E876" t="s">
        <v>14</v>
      </c>
      <c r="F876" t="s">
        <v>12</v>
      </c>
      <c r="G876" t="s">
        <v>10</v>
      </c>
      <c r="H876" s="3">
        <v>1</v>
      </c>
    </row>
    <row r="877" spans="1:8" ht="20.100000000000001" customHeight="1">
      <c r="A877" t="s">
        <v>889</v>
      </c>
      <c r="B877" s="3">
        <v>33</v>
      </c>
      <c r="C877" s="2">
        <v>7100000</v>
      </c>
      <c r="D877" s="2">
        <v>39200000</v>
      </c>
      <c r="E877" t="s">
        <v>14</v>
      </c>
      <c r="F877" t="s">
        <v>12</v>
      </c>
      <c r="G877" t="s">
        <v>10</v>
      </c>
      <c r="H877" s="3">
        <v>1</v>
      </c>
    </row>
    <row r="878" spans="1:8" ht="20.100000000000001" customHeight="1">
      <c r="A878" t="s">
        <v>890</v>
      </c>
      <c r="B878" s="3">
        <v>37</v>
      </c>
      <c r="C878" s="2">
        <v>8700000</v>
      </c>
      <c r="D878" s="2">
        <v>154300000</v>
      </c>
      <c r="E878" t="s">
        <v>9</v>
      </c>
      <c r="F878" t="s">
        <v>12</v>
      </c>
      <c r="G878" t="s">
        <v>10</v>
      </c>
      <c r="H878" s="3">
        <v>1</v>
      </c>
    </row>
    <row r="879" spans="1:8" ht="20.100000000000001" customHeight="1">
      <c r="A879" t="s">
        <v>891</v>
      </c>
      <c r="B879" s="3">
        <v>39</v>
      </c>
      <c r="C879" s="2">
        <v>11500000</v>
      </c>
      <c r="D879" s="2">
        <v>21400000</v>
      </c>
      <c r="E879" t="s">
        <v>16</v>
      </c>
      <c r="F879" t="s">
        <v>12</v>
      </c>
      <c r="G879" t="s">
        <v>10</v>
      </c>
      <c r="H879" s="3">
        <v>1</v>
      </c>
    </row>
    <row r="880" spans="1:8" ht="20.100000000000001" customHeight="1">
      <c r="A880" t="s">
        <v>892</v>
      </c>
      <c r="B880" s="3">
        <v>32</v>
      </c>
      <c r="C880" s="2">
        <v>4500000</v>
      </c>
      <c r="D880" s="2">
        <v>12800000</v>
      </c>
      <c r="E880" t="s">
        <v>9</v>
      </c>
      <c r="F880" t="s">
        <v>10</v>
      </c>
      <c r="G880" t="s">
        <v>10</v>
      </c>
      <c r="H880" s="3">
        <v>0</v>
      </c>
    </row>
    <row r="881" spans="1:8" ht="20.100000000000001" customHeight="1">
      <c r="A881" t="s">
        <v>893</v>
      </c>
      <c r="B881" s="3">
        <v>39</v>
      </c>
      <c r="C881" s="2">
        <v>4900000</v>
      </c>
      <c r="D881" s="2">
        <v>5300000</v>
      </c>
      <c r="E881" t="s">
        <v>16</v>
      </c>
      <c r="F881" t="s">
        <v>12</v>
      </c>
      <c r="G881" t="s">
        <v>12</v>
      </c>
      <c r="H881" s="3">
        <v>0</v>
      </c>
    </row>
    <row r="882" spans="1:8" ht="20.100000000000001" customHeight="1">
      <c r="A882" t="s">
        <v>894</v>
      </c>
      <c r="B882" s="3">
        <v>50</v>
      </c>
      <c r="C882" s="2">
        <v>11000000</v>
      </c>
      <c r="D882" s="2">
        <v>155000000</v>
      </c>
      <c r="E882" t="s">
        <v>9</v>
      </c>
      <c r="F882" t="s">
        <v>12</v>
      </c>
      <c r="G882" t="s">
        <v>10</v>
      </c>
      <c r="H882" s="3">
        <v>1</v>
      </c>
    </row>
    <row r="883" spans="1:8" ht="20.100000000000001" customHeight="1">
      <c r="A883" t="s">
        <v>895</v>
      </c>
      <c r="B883" s="3">
        <v>24</v>
      </c>
      <c r="C883" s="2">
        <v>10200000</v>
      </c>
      <c r="D883" s="2">
        <v>16100000</v>
      </c>
      <c r="E883" t="s">
        <v>16</v>
      </c>
      <c r="F883" t="s">
        <v>12</v>
      </c>
      <c r="G883" t="s">
        <v>10</v>
      </c>
      <c r="H883" s="3">
        <v>0</v>
      </c>
    </row>
    <row r="884" spans="1:8" ht="20.100000000000001" customHeight="1">
      <c r="A884" t="s">
        <v>896</v>
      </c>
      <c r="B884" s="3">
        <v>29</v>
      </c>
      <c r="C884" s="2">
        <v>4100000</v>
      </c>
      <c r="D884" s="2">
        <v>23500000</v>
      </c>
      <c r="E884" t="s">
        <v>9</v>
      </c>
      <c r="F884" t="s">
        <v>12</v>
      </c>
      <c r="G884" t="s">
        <v>12</v>
      </c>
      <c r="H884" s="3">
        <v>0</v>
      </c>
    </row>
    <row r="885" spans="1:8" ht="20.100000000000001" customHeight="1">
      <c r="A885" t="s">
        <v>897</v>
      </c>
      <c r="B885" s="3">
        <v>35</v>
      </c>
      <c r="C885" s="2">
        <v>7400000</v>
      </c>
      <c r="D885" s="2">
        <v>33400000</v>
      </c>
      <c r="E885" t="s">
        <v>9</v>
      </c>
      <c r="F885" t="s">
        <v>12</v>
      </c>
      <c r="G885" t="s">
        <v>12</v>
      </c>
      <c r="H885" s="3">
        <v>0</v>
      </c>
    </row>
    <row r="886" spans="1:8" ht="20.100000000000001" customHeight="1">
      <c r="A886" t="s">
        <v>898</v>
      </c>
      <c r="B886" s="3">
        <v>26</v>
      </c>
      <c r="C886" s="2">
        <v>6300000</v>
      </c>
      <c r="D886" s="2">
        <v>16000000</v>
      </c>
      <c r="E886" t="s">
        <v>14</v>
      </c>
      <c r="F886" t="s">
        <v>10</v>
      </c>
      <c r="G886" t="s">
        <v>10</v>
      </c>
      <c r="H886" s="3">
        <v>0</v>
      </c>
    </row>
    <row r="887" spans="1:8" ht="20.100000000000001" customHeight="1">
      <c r="A887" t="s">
        <v>899</v>
      </c>
      <c r="B887" s="3">
        <v>21</v>
      </c>
      <c r="C887" s="2">
        <v>7300000</v>
      </c>
      <c r="D887" s="2">
        <v>22000000</v>
      </c>
      <c r="E887" t="s">
        <v>9</v>
      </c>
      <c r="F887" t="s">
        <v>10</v>
      </c>
      <c r="G887" t="s">
        <v>12</v>
      </c>
      <c r="H887" s="3">
        <v>0</v>
      </c>
    </row>
    <row r="888" spans="1:8" ht="20.100000000000001" customHeight="1">
      <c r="A888" t="s">
        <v>900</v>
      </c>
      <c r="B888" s="3">
        <v>42</v>
      </c>
      <c r="C888" s="2">
        <v>8000000</v>
      </c>
      <c r="D888" s="2">
        <v>37700000</v>
      </c>
      <c r="E888" t="s">
        <v>9</v>
      </c>
      <c r="F888" t="s">
        <v>12</v>
      </c>
      <c r="G888" t="s">
        <v>12</v>
      </c>
      <c r="H888" s="3">
        <v>0</v>
      </c>
    </row>
    <row r="889" spans="1:8" ht="20.100000000000001" customHeight="1">
      <c r="A889" t="s">
        <v>901</v>
      </c>
      <c r="B889" s="3">
        <v>70</v>
      </c>
      <c r="C889" s="2">
        <v>4800000</v>
      </c>
      <c r="D889" s="2">
        <v>30300000</v>
      </c>
      <c r="E889" t="s">
        <v>14</v>
      </c>
      <c r="F889" t="s">
        <v>12</v>
      </c>
      <c r="G889" t="s">
        <v>12</v>
      </c>
      <c r="H889" s="3">
        <v>1</v>
      </c>
    </row>
    <row r="890" spans="1:8" ht="20.100000000000001" customHeight="1">
      <c r="A890" t="s">
        <v>902</v>
      </c>
      <c r="B890" s="3">
        <v>27</v>
      </c>
      <c r="C890" s="2">
        <v>5400000</v>
      </c>
      <c r="D890" s="2">
        <v>36400000</v>
      </c>
      <c r="E890" t="s">
        <v>14</v>
      </c>
      <c r="F890" t="s">
        <v>12</v>
      </c>
      <c r="G890" t="s">
        <v>12</v>
      </c>
      <c r="H890" s="3">
        <v>0</v>
      </c>
    </row>
    <row r="891" spans="1:8" ht="20.100000000000001" customHeight="1">
      <c r="A891" t="s">
        <v>903</v>
      </c>
      <c r="B891" s="3">
        <v>22</v>
      </c>
      <c r="C891" s="2">
        <v>4900000</v>
      </c>
      <c r="D891" s="2">
        <v>17300000</v>
      </c>
      <c r="E891" t="s">
        <v>9</v>
      </c>
      <c r="F891" t="s">
        <v>10</v>
      </c>
      <c r="G891" t="s">
        <v>12</v>
      </c>
      <c r="H891" s="3">
        <v>0</v>
      </c>
    </row>
    <row r="892" spans="1:8" ht="20.100000000000001" customHeight="1">
      <c r="A892" t="s">
        <v>904</v>
      </c>
      <c r="B892" s="3">
        <v>40</v>
      </c>
      <c r="C892" s="2">
        <v>4900000</v>
      </c>
      <c r="D892" s="2">
        <v>24900000</v>
      </c>
      <c r="E892" t="s">
        <v>9</v>
      </c>
      <c r="F892" t="s">
        <v>12</v>
      </c>
      <c r="G892" t="s">
        <v>12</v>
      </c>
      <c r="H892" s="3">
        <v>1</v>
      </c>
    </row>
    <row r="893" spans="1:8" ht="20.100000000000001" customHeight="1">
      <c r="A893" t="s">
        <v>905</v>
      </c>
      <c r="B893" s="3">
        <v>43</v>
      </c>
      <c r="C893" s="2">
        <v>9100000</v>
      </c>
      <c r="D893" s="2">
        <v>42600000</v>
      </c>
      <c r="E893" t="s">
        <v>14</v>
      </c>
      <c r="F893" t="s">
        <v>10</v>
      </c>
      <c r="G893" t="s">
        <v>12</v>
      </c>
      <c r="H893" s="3">
        <v>0</v>
      </c>
    </row>
    <row r="894" spans="1:8" ht="20.100000000000001" customHeight="1">
      <c r="A894" t="s">
        <v>906</v>
      </c>
      <c r="B894" s="3">
        <v>38</v>
      </c>
      <c r="C894" s="2">
        <v>5600000</v>
      </c>
      <c r="D894" s="2">
        <v>8000000</v>
      </c>
      <c r="E894" t="s">
        <v>9</v>
      </c>
      <c r="F894" t="s">
        <v>12</v>
      </c>
      <c r="G894" t="s">
        <v>10</v>
      </c>
      <c r="H894" s="3">
        <v>0</v>
      </c>
    </row>
    <row r="895" spans="1:8" ht="20.100000000000001" customHeight="1">
      <c r="A895" t="s">
        <v>907</v>
      </c>
      <c r="B895" s="3">
        <v>66</v>
      </c>
      <c r="C895" s="2">
        <v>4100000</v>
      </c>
      <c r="D895" s="2">
        <v>22800000</v>
      </c>
      <c r="E895" t="s">
        <v>31</v>
      </c>
      <c r="F895" t="s">
        <v>10</v>
      </c>
      <c r="G895" t="s">
        <v>10</v>
      </c>
      <c r="H895" s="3">
        <v>0</v>
      </c>
    </row>
    <row r="896" spans="1:8" ht="20.100000000000001" customHeight="1">
      <c r="A896" t="s">
        <v>908</v>
      </c>
      <c r="B896" s="3">
        <v>26</v>
      </c>
      <c r="C896" s="2">
        <v>3800000</v>
      </c>
      <c r="D896" s="2">
        <v>1300000</v>
      </c>
      <c r="E896" t="s">
        <v>16</v>
      </c>
      <c r="F896" t="s">
        <v>12</v>
      </c>
      <c r="G896" t="s">
        <v>10</v>
      </c>
      <c r="H896" s="3">
        <v>0</v>
      </c>
    </row>
    <row r="897" spans="1:8" ht="20.100000000000001" customHeight="1">
      <c r="A897" t="s">
        <v>909</v>
      </c>
      <c r="B897" s="3">
        <v>59</v>
      </c>
      <c r="C897" s="2">
        <v>6300000</v>
      </c>
      <c r="D897" s="2">
        <v>109100000</v>
      </c>
      <c r="E897" t="s">
        <v>16</v>
      </c>
      <c r="F897" t="s">
        <v>12</v>
      </c>
      <c r="G897" t="s">
        <v>12</v>
      </c>
      <c r="H897" s="3">
        <v>1</v>
      </c>
    </row>
    <row r="898" spans="1:8" ht="20.100000000000001" customHeight="1">
      <c r="A898" t="s">
        <v>910</v>
      </c>
      <c r="B898" s="3">
        <v>21</v>
      </c>
      <c r="C898" s="2">
        <v>6700000</v>
      </c>
      <c r="D898" s="2">
        <v>2800000</v>
      </c>
      <c r="E898" t="s">
        <v>9</v>
      </c>
      <c r="F898" t="s">
        <v>12</v>
      </c>
      <c r="G898" t="s">
        <v>12</v>
      </c>
      <c r="H898" s="3">
        <v>0</v>
      </c>
    </row>
    <row r="899" spans="1:8" ht="20.100000000000001" customHeight="1">
      <c r="A899" t="s">
        <v>911</v>
      </c>
      <c r="B899" s="3">
        <v>65</v>
      </c>
      <c r="C899" s="2">
        <v>8300000</v>
      </c>
      <c r="D899" s="2">
        <v>83000000</v>
      </c>
      <c r="E899" t="s">
        <v>9</v>
      </c>
      <c r="F899" t="s">
        <v>12</v>
      </c>
      <c r="G899" t="s">
        <v>10</v>
      </c>
      <c r="H899" s="3">
        <v>1</v>
      </c>
    </row>
    <row r="900" spans="1:8" ht="20.100000000000001" customHeight="1">
      <c r="A900" t="s">
        <v>912</v>
      </c>
      <c r="B900" s="3">
        <v>32</v>
      </c>
      <c r="C900" s="2">
        <v>7200000</v>
      </c>
      <c r="D900" s="2">
        <v>9000000</v>
      </c>
      <c r="E900" t="s">
        <v>9</v>
      </c>
      <c r="F900" t="s">
        <v>12</v>
      </c>
      <c r="G900" t="s">
        <v>10</v>
      </c>
      <c r="H900" s="3">
        <v>0</v>
      </c>
    </row>
    <row r="901" spans="1:8" ht="20.100000000000001" customHeight="1">
      <c r="A901" t="s">
        <v>913</v>
      </c>
      <c r="B901" s="3">
        <v>48</v>
      </c>
      <c r="C901" s="2">
        <v>8200000</v>
      </c>
      <c r="D901" s="2">
        <v>14300000</v>
      </c>
      <c r="E901" t="s">
        <v>14</v>
      </c>
      <c r="F901" t="s">
        <v>12</v>
      </c>
      <c r="G901" t="s">
        <v>12</v>
      </c>
      <c r="H901" s="3">
        <v>1</v>
      </c>
    </row>
    <row r="902" spans="1:8" ht="20.100000000000001" customHeight="1">
      <c r="A902" t="s">
        <v>914</v>
      </c>
      <c r="B902" s="3">
        <v>29</v>
      </c>
      <c r="C902" s="2">
        <v>2700000</v>
      </c>
      <c r="D902" s="2">
        <v>9700000</v>
      </c>
      <c r="E902" t="s">
        <v>9</v>
      </c>
      <c r="F902" t="s">
        <v>10</v>
      </c>
      <c r="G902" t="s">
        <v>12</v>
      </c>
      <c r="H902" s="3">
        <v>0</v>
      </c>
    </row>
    <row r="903" spans="1:8" ht="20.100000000000001" customHeight="1">
      <c r="A903" t="s">
        <v>915</v>
      </c>
      <c r="B903" s="3">
        <v>41</v>
      </c>
      <c r="C903" s="2">
        <v>6400000</v>
      </c>
      <c r="D903" s="2">
        <v>8300000</v>
      </c>
      <c r="E903" t="s">
        <v>14</v>
      </c>
      <c r="F903" t="s">
        <v>10</v>
      </c>
      <c r="G903" t="s">
        <v>12</v>
      </c>
      <c r="H903" s="3">
        <v>0</v>
      </c>
    </row>
    <row r="904" spans="1:8" ht="20.100000000000001" customHeight="1">
      <c r="A904" t="s">
        <v>916</v>
      </c>
      <c r="B904" s="3">
        <v>46</v>
      </c>
      <c r="C904" s="2">
        <v>3800000</v>
      </c>
      <c r="D904" s="2">
        <v>15900000</v>
      </c>
      <c r="E904" t="s">
        <v>9</v>
      </c>
      <c r="F904" t="s">
        <v>10</v>
      </c>
      <c r="G904" t="s">
        <v>10</v>
      </c>
      <c r="H904" s="3">
        <v>0</v>
      </c>
    </row>
    <row r="905" spans="1:8" ht="20.100000000000001" customHeight="1">
      <c r="A905" t="s">
        <v>917</v>
      </c>
      <c r="B905" s="3">
        <v>44</v>
      </c>
      <c r="C905" s="2">
        <v>12400000</v>
      </c>
      <c r="D905" s="2">
        <v>155000000</v>
      </c>
      <c r="E905" t="s">
        <v>9</v>
      </c>
      <c r="F905" t="s">
        <v>10</v>
      </c>
      <c r="G905" t="s">
        <v>12</v>
      </c>
      <c r="H905" s="3">
        <v>0</v>
      </c>
    </row>
    <row r="906" spans="1:8" ht="20.100000000000001" customHeight="1">
      <c r="A906" t="s">
        <v>918</v>
      </c>
      <c r="B906" s="3">
        <v>69</v>
      </c>
      <c r="C906" s="2">
        <v>3900000</v>
      </c>
      <c r="D906" s="2">
        <v>38800000</v>
      </c>
      <c r="E906" t="s">
        <v>31</v>
      </c>
      <c r="F906" t="s">
        <v>12</v>
      </c>
      <c r="G906" t="s">
        <v>12</v>
      </c>
      <c r="H906" s="3">
        <v>0</v>
      </c>
    </row>
    <row r="907" spans="1:8" ht="20.100000000000001" customHeight="1">
      <c r="A907" t="s">
        <v>919</v>
      </c>
      <c r="B907" s="3">
        <v>63</v>
      </c>
      <c r="C907" s="2">
        <v>3700000</v>
      </c>
      <c r="D907" s="2">
        <v>23700000</v>
      </c>
      <c r="E907" t="s">
        <v>31</v>
      </c>
      <c r="F907" t="s">
        <v>10</v>
      </c>
      <c r="G907" t="s">
        <v>12</v>
      </c>
      <c r="H907" s="3">
        <v>0</v>
      </c>
    </row>
    <row r="908" spans="1:8" ht="20.100000000000001" customHeight="1">
      <c r="A908" t="s">
        <v>920</v>
      </c>
      <c r="B908" s="3">
        <v>30</v>
      </c>
      <c r="C908" s="2">
        <v>4700000</v>
      </c>
      <c r="D908" s="2">
        <v>18400000</v>
      </c>
      <c r="E908" t="s">
        <v>9</v>
      </c>
      <c r="F908" t="s">
        <v>12</v>
      </c>
      <c r="G908" t="s">
        <v>10</v>
      </c>
      <c r="H908" s="3">
        <v>1</v>
      </c>
    </row>
    <row r="909" spans="1:8" ht="20.100000000000001" customHeight="1">
      <c r="A909" t="s">
        <v>921</v>
      </c>
      <c r="B909" s="3">
        <v>45</v>
      </c>
      <c r="C909" s="2">
        <v>4300000</v>
      </c>
      <c r="D909" s="2">
        <v>7800000</v>
      </c>
      <c r="E909" t="s">
        <v>9</v>
      </c>
      <c r="F909" t="s">
        <v>12</v>
      </c>
      <c r="G909" t="s">
        <v>10</v>
      </c>
      <c r="H909" s="3">
        <v>1</v>
      </c>
    </row>
    <row r="910" spans="1:8" ht="20.100000000000001" customHeight="1">
      <c r="A910" t="s">
        <v>922</v>
      </c>
      <c r="B910" s="3">
        <v>37</v>
      </c>
      <c r="C910" s="2">
        <v>5100000</v>
      </c>
      <c r="D910" s="2">
        <v>45200000</v>
      </c>
      <c r="E910" t="s">
        <v>9</v>
      </c>
      <c r="F910" t="s">
        <v>10</v>
      </c>
      <c r="G910" t="s">
        <v>10</v>
      </c>
      <c r="H910" s="3">
        <v>0</v>
      </c>
    </row>
    <row r="911" spans="1:8" ht="20.100000000000001" customHeight="1">
      <c r="A911" t="s">
        <v>923</v>
      </c>
      <c r="B911" s="3">
        <v>43</v>
      </c>
      <c r="C911" s="2">
        <v>5400000</v>
      </c>
      <c r="D911" s="2">
        <v>23700000</v>
      </c>
      <c r="E911" t="s">
        <v>16</v>
      </c>
      <c r="F911" t="s">
        <v>12</v>
      </c>
      <c r="G911" t="s">
        <v>12</v>
      </c>
      <c r="H911" s="3">
        <v>0</v>
      </c>
    </row>
    <row r="912" spans="1:8" ht="20.100000000000001" customHeight="1">
      <c r="A912" t="s">
        <v>924</v>
      </c>
      <c r="B912" s="3">
        <v>29</v>
      </c>
      <c r="C912" s="2">
        <v>6300000</v>
      </c>
      <c r="D912" s="2">
        <v>19400000</v>
      </c>
      <c r="E912" t="s">
        <v>16</v>
      </c>
      <c r="F912" t="s">
        <v>12</v>
      </c>
      <c r="G912" t="s">
        <v>10</v>
      </c>
      <c r="H912" s="3">
        <v>0</v>
      </c>
    </row>
    <row r="913" spans="1:8" ht="20.100000000000001" customHeight="1">
      <c r="A913" t="s">
        <v>925</v>
      </c>
      <c r="B913" s="3">
        <v>39</v>
      </c>
      <c r="C913" s="2">
        <v>5700000</v>
      </c>
      <c r="D913" s="2">
        <v>16100000</v>
      </c>
      <c r="E913" t="s">
        <v>14</v>
      </c>
      <c r="F913" t="s">
        <v>12</v>
      </c>
      <c r="G913" t="s">
        <v>10</v>
      </c>
      <c r="H913" s="3">
        <v>0</v>
      </c>
    </row>
    <row r="914" spans="1:8" ht="20.100000000000001" customHeight="1">
      <c r="A914" t="s">
        <v>926</v>
      </c>
      <c r="B914" s="3">
        <v>51</v>
      </c>
      <c r="C914" s="2">
        <v>9500000</v>
      </c>
      <c r="D914" s="2">
        <v>20500000</v>
      </c>
      <c r="E914" t="s">
        <v>9</v>
      </c>
      <c r="F914" t="s">
        <v>12</v>
      </c>
      <c r="G914" t="s">
        <v>10</v>
      </c>
      <c r="H914" s="3">
        <v>1</v>
      </c>
    </row>
    <row r="915" spans="1:8" ht="20.100000000000001" customHeight="1">
      <c r="A915" t="s">
        <v>927</v>
      </c>
      <c r="B915" s="3">
        <v>28</v>
      </c>
      <c r="C915" s="2">
        <v>4800000</v>
      </c>
      <c r="D915" s="2">
        <v>7200000</v>
      </c>
      <c r="E915" t="s">
        <v>9</v>
      </c>
      <c r="F915" t="s">
        <v>10</v>
      </c>
      <c r="G915" t="s">
        <v>12</v>
      </c>
      <c r="H915" s="3">
        <v>0</v>
      </c>
    </row>
    <row r="916" spans="1:8" ht="20.100000000000001" customHeight="1">
      <c r="A916" t="s">
        <v>928</v>
      </c>
      <c r="B916" s="3">
        <v>49</v>
      </c>
      <c r="C916" s="2">
        <v>9200000</v>
      </c>
      <c r="D916" s="2">
        <v>24900000</v>
      </c>
      <c r="E916" t="s">
        <v>16</v>
      </c>
      <c r="F916" t="s">
        <v>10</v>
      </c>
      <c r="G916" t="s">
        <v>10</v>
      </c>
      <c r="H916" s="3">
        <v>1</v>
      </c>
    </row>
    <row r="917" spans="1:8" ht="20.100000000000001" customHeight="1">
      <c r="A917" t="s">
        <v>929</v>
      </c>
      <c r="B917" s="3">
        <v>21</v>
      </c>
      <c r="C917" s="2">
        <v>6200000</v>
      </c>
      <c r="D917" s="2">
        <v>21200000</v>
      </c>
      <c r="E917" t="s">
        <v>14</v>
      </c>
      <c r="F917" t="s">
        <v>10</v>
      </c>
      <c r="G917" t="s">
        <v>12</v>
      </c>
      <c r="H917" s="3">
        <v>0</v>
      </c>
    </row>
    <row r="918" spans="1:8" ht="20.100000000000001" customHeight="1">
      <c r="A918" t="s">
        <v>930</v>
      </c>
      <c r="B918" s="3">
        <v>42</v>
      </c>
      <c r="C918" s="2">
        <v>9000000</v>
      </c>
      <c r="D918" s="2">
        <v>41700000</v>
      </c>
      <c r="E918" t="s">
        <v>16</v>
      </c>
      <c r="F918" t="s">
        <v>10</v>
      </c>
      <c r="G918" t="s">
        <v>12</v>
      </c>
      <c r="H918" s="3">
        <v>1</v>
      </c>
    </row>
    <row r="919" spans="1:8" ht="20.100000000000001" customHeight="1">
      <c r="A919" t="s">
        <v>931</v>
      </c>
      <c r="B919" s="3">
        <v>44</v>
      </c>
      <c r="C919" s="2">
        <v>7500000</v>
      </c>
      <c r="D919" s="2">
        <v>5700000</v>
      </c>
      <c r="E919" t="s">
        <v>9</v>
      </c>
      <c r="F919" t="s">
        <v>10</v>
      </c>
      <c r="G919" t="s">
        <v>12</v>
      </c>
      <c r="H919" s="3">
        <v>0</v>
      </c>
    </row>
    <row r="920" spans="1:8" ht="20.100000000000001" customHeight="1">
      <c r="A920" t="s">
        <v>932</v>
      </c>
      <c r="B920" s="3">
        <v>39</v>
      </c>
      <c r="C920" s="2">
        <v>5200000</v>
      </c>
      <c r="D920" s="2">
        <v>39500000</v>
      </c>
      <c r="E920" t="s">
        <v>9</v>
      </c>
      <c r="F920" t="s">
        <v>12</v>
      </c>
      <c r="G920" t="s">
        <v>10</v>
      </c>
      <c r="H920" s="3">
        <v>0</v>
      </c>
    </row>
    <row r="921" spans="1:8" ht="20.100000000000001" customHeight="1">
      <c r="A921" t="s">
        <v>933</v>
      </c>
      <c r="B921" s="3">
        <v>39</v>
      </c>
      <c r="C921" s="2">
        <v>3000000</v>
      </c>
      <c r="D921" s="2">
        <v>6100000</v>
      </c>
      <c r="E921" t="s">
        <v>9</v>
      </c>
      <c r="F921" t="s">
        <v>12</v>
      </c>
      <c r="G921" t="s">
        <v>12</v>
      </c>
      <c r="H921" s="3">
        <v>0</v>
      </c>
    </row>
    <row r="922" spans="1:8" ht="20.100000000000001" customHeight="1">
      <c r="A922" t="s">
        <v>934</v>
      </c>
      <c r="B922" s="3">
        <v>28</v>
      </c>
      <c r="C922" s="2">
        <v>4600000</v>
      </c>
      <c r="D922" s="2">
        <v>27600000</v>
      </c>
      <c r="E922" t="s">
        <v>9</v>
      </c>
      <c r="F922" t="s">
        <v>12</v>
      </c>
      <c r="G922" t="s">
        <v>12</v>
      </c>
      <c r="H922" s="3">
        <v>1</v>
      </c>
    </row>
    <row r="923" spans="1:8" ht="20.100000000000001" customHeight="1">
      <c r="A923" t="s">
        <v>935</v>
      </c>
      <c r="B923" s="3">
        <v>53</v>
      </c>
      <c r="C923" s="2">
        <v>4200000</v>
      </c>
      <c r="D923" s="2">
        <v>69000000</v>
      </c>
      <c r="E923" t="s">
        <v>16</v>
      </c>
      <c r="F923" t="s">
        <v>12</v>
      </c>
      <c r="G923" t="s">
        <v>10</v>
      </c>
      <c r="H923" s="3">
        <v>1</v>
      </c>
    </row>
    <row r="924" spans="1:8" ht="20.100000000000001" customHeight="1">
      <c r="A924" t="s">
        <v>936</v>
      </c>
      <c r="B924" s="3">
        <v>48</v>
      </c>
      <c r="C924" s="2">
        <v>7200000</v>
      </c>
      <c r="D924" s="2">
        <v>38300000</v>
      </c>
      <c r="E924" t="s">
        <v>14</v>
      </c>
      <c r="F924" t="s">
        <v>12</v>
      </c>
      <c r="G924" t="s">
        <v>10</v>
      </c>
      <c r="H924" s="3">
        <v>1</v>
      </c>
    </row>
    <row r="925" spans="1:8" ht="20.100000000000001" customHeight="1">
      <c r="A925" t="s">
        <v>937</v>
      </c>
      <c r="B925" s="3">
        <v>51</v>
      </c>
      <c r="C925" s="2">
        <v>5800000</v>
      </c>
      <c r="D925" s="2">
        <v>55200000</v>
      </c>
      <c r="E925" t="s">
        <v>14</v>
      </c>
      <c r="F925" t="s">
        <v>12</v>
      </c>
      <c r="G925" t="s">
        <v>10</v>
      </c>
      <c r="H925" s="3">
        <v>1</v>
      </c>
    </row>
    <row r="926" spans="1:8" ht="20.100000000000001" customHeight="1">
      <c r="A926" t="s">
        <v>938</v>
      </c>
      <c r="B926" s="3">
        <v>45</v>
      </c>
      <c r="C926" s="2">
        <v>4700000</v>
      </c>
      <c r="D926" s="2">
        <v>6700000</v>
      </c>
      <c r="E926" t="s">
        <v>9</v>
      </c>
      <c r="F926" t="s">
        <v>12</v>
      </c>
      <c r="G926" t="s">
        <v>12</v>
      </c>
      <c r="H926" s="3">
        <v>0</v>
      </c>
    </row>
    <row r="927" spans="1:8" ht="20.100000000000001" customHeight="1">
      <c r="A927" t="s">
        <v>939</v>
      </c>
      <c r="B927" s="3">
        <v>52</v>
      </c>
      <c r="C927" s="2">
        <v>8100000</v>
      </c>
      <c r="D927" s="2">
        <v>45000000</v>
      </c>
      <c r="E927" t="s">
        <v>16</v>
      </c>
      <c r="F927" t="s">
        <v>10</v>
      </c>
      <c r="G927" t="s">
        <v>10</v>
      </c>
      <c r="H927" s="3">
        <v>0</v>
      </c>
    </row>
    <row r="928" spans="1:8" ht="20.100000000000001" customHeight="1">
      <c r="A928" t="s">
        <v>940</v>
      </c>
      <c r="B928" s="3">
        <v>48</v>
      </c>
      <c r="C928" s="2">
        <v>7000000</v>
      </c>
      <c r="D928" s="2">
        <v>21000000</v>
      </c>
      <c r="E928" t="s">
        <v>14</v>
      </c>
      <c r="F928" t="s">
        <v>12</v>
      </c>
      <c r="G928" t="s">
        <v>10</v>
      </c>
      <c r="H928" s="3">
        <v>0</v>
      </c>
    </row>
    <row r="929" spans="1:8" ht="20.100000000000001" customHeight="1">
      <c r="A929" t="s">
        <v>941</v>
      </c>
      <c r="B929" s="3">
        <v>35</v>
      </c>
      <c r="C929" s="2">
        <v>4400000</v>
      </c>
      <c r="D929" s="2">
        <v>30700000</v>
      </c>
      <c r="E929" t="s">
        <v>16</v>
      </c>
      <c r="F929" t="s">
        <v>10</v>
      </c>
      <c r="G929" t="s">
        <v>12</v>
      </c>
      <c r="H929" s="3">
        <v>0</v>
      </c>
    </row>
    <row r="930" spans="1:8" ht="20.100000000000001" customHeight="1">
      <c r="A930" t="s">
        <v>942</v>
      </c>
      <c r="B930" s="3">
        <v>21</v>
      </c>
      <c r="C930" s="2">
        <v>7900000</v>
      </c>
      <c r="D930" s="2">
        <v>11400000</v>
      </c>
      <c r="E930" t="s">
        <v>9</v>
      </c>
      <c r="F930" t="s">
        <v>10</v>
      </c>
      <c r="G930" t="s">
        <v>12</v>
      </c>
      <c r="H930" s="3">
        <v>0</v>
      </c>
    </row>
    <row r="931" spans="1:8" ht="20.100000000000001" customHeight="1">
      <c r="A931" t="s">
        <v>943</v>
      </c>
      <c r="B931" s="3">
        <v>48</v>
      </c>
      <c r="C931" s="2">
        <v>8000000</v>
      </c>
      <c r="D931" s="2">
        <v>42300000</v>
      </c>
      <c r="E931" t="s">
        <v>16</v>
      </c>
      <c r="F931" t="s">
        <v>10</v>
      </c>
      <c r="G931" t="s">
        <v>12</v>
      </c>
      <c r="H931" s="3">
        <v>0</v>
      </c>
    </row>
    <row r="932" spans="1:8" ht="20.100000000000001" customHeight="1">
      <c r="A932" t="s">
        <v>944</v>
      </c>
      <c r="B932" s="3">
        <v>40</v>
      </c>
      <c r="C932" s="2">
        <v>6300000</v>
      </c>
      <c r="D932" s="2">
        <v>23200000</v>
      </c>
      <c r="E932" t="s">
        <v>16</v>
      </c>
      <c r="F932" t="s">
        <v>10</v>
      </c>
      <c r="G932" t="s">
        <v>10</v>
      </c>
      <c r="H932" s="3">
        <v>0</v>
      </c>
    </row>
    <row r="933" spans="1:8" ht="20.100000000000001" customHeight="1">
      <c r="A933" t="s">
        <v>945</v>
      </c>
      <c r="B933" s="3">
        <v>44</v>
      </c>
      <c r="C933" s="2">
        <v>7700000</v>
      </c>
      <c r="D933" s="2">
        <v>105400000</v>
      </c>
      <c r="E933" t="s">
        <v>14</v>
      </c>
      <c r="F933" t="s">
        <v>12</v>
      </c>
      <c r="G933" t="s">
        <v>12</v>
      </c>
      <c r="H933" s="3">
        <v>0</v>
      </c>
    </row>
    <row r="934" spans="1:8" ht="20.100000000000001" customHeight="1">
      <c r="A934" t="s">
        <v>946</v>
      </c>
      <c r="B934" s="3">
        <v>35</v>
      </c>
      <c r="C934" s="2">
        <v>8100000</v>
      </c>
      <c r="D934" s="2">
        <v>11700000</v>
      </c>
      <c r="E934" t="s">
        <v>14</v>
      </c>
      <c r="F934" t="s">
        <v>12</v>
      </c>
      <c r="G934" t="s">
        <v>10</v>
      </c>
      <c r="H934" s="3">
        <v>0</v>
      </c>
    </row>
    <row r="935" spans="1:8" ht="20.100000000000001" customHeight="1">
      <c r="A935" t="s">
        <v>947</v>
      </c>
      <c r="B935" s="3">
        <v>41</v>
      </c>
      <c r="C935" s="2">
        <v>8200000</v>
      </c>
      <c r="D935" s="2">
        <v>7200000</v>
      </c>
      <c r="E935" t="s">
        <v>14</v>
      </c>
      <c r="F935" t="s">
        <v>12</v>
      </c>
      <c r="G935" t="s">
        <v>10</v>
      </c>
      <c r="H935" s="3">
        <v>1</v>
      </c>
    </row>
    <row r="936" spans="1:8" ht="20.100000000000001" customHeight="1">
      <c r="A936" t="s">
        <v>948</v>
      </c>
      <c r="B936" s="3">
        <v>70</v>
      </c>
      <c r="C936" s="2">
        <v>5400000</v>
      </c>
      <c r="D936" s="2">
        <v>81100000</v>
      </c>
      <c r="E936" t="s">
        <v>16</v>
      </c>
      <c r="F936" t="s">
        <v>12</v>
      </c>
      <c r="G936" t="s">
        <v>10</v>
      </c>
      <c r="H936" s="3">
        <v>1</v>
      </c>
    </row>
    <row r="937" spans="1:8" ht="20.100000000000001" customHeight="1">
      <c r="A937" t="s">
        <v>949</v>
      </c>
      <c r="B937" s="3">
        <v>52</v>
      </c>
      <c r="C937" s="2">
        <v>3800000</v>
      </c>
      <c r="D937" s="2">
        <v>9400000</v>
      </c>
      <c r="E937" t="s">
        <v>9</v>
      </c>
      <c r="F937" t="s">
        <v>10</v>
      </c>
      <c r="G937" t="s">
        <v>10</v>
      </c>
      <c r="H937" s="3">
        <v>0</v>
      </c>
    </row>
    <row r="938" spans="1:8" ht="20.100000000000001" customHeight="1">
      <c r="A938" t="s">
        <v>950</v>
      </c>
      <c r="B938" s="3">
        <v>21</v>
      </c>
      <c r="C938" s="2">
        <v>9300000</v>
      </c>
      <c r="D938" s="2">
        <v>54500000</v>
      </c>
      <c r="E938" t="s">
        <v>9</v>
      </c>
      <c r="F938" t="s">
        <v>12</v>
      </c>
      <c r="G938" t="s">
        <v>10</v>
      </c>
      <c r="H938" s="3">
        <v>0</v>
      </c>
    </row>
    <row r="939" spans="1:8" ht="20.100000000000001" customHeight="1">
      <c r="A939" t="s">
        <v>951</v>
      </c>
      <c r="B939" s="3">
        <v>32</v>
      </c>
      <c r="C939" s="2">
        <v>4300000</v>
      </c>
      <c r="D939" s="2">
        <v>51300000</v>
      </c>
      <c r="E939" t="s">
        <v>9</v>
      </c>
      <c r="F939" t="s">
        <v>12</v>
      </c>
      <c r="G939" t="s">
        <v>10</v>
      </c>
      <c r="H939" s="3">
        <v>0</v>
      </c>
    </row>
    <row r="940" spans="1:8" ht="20.100000000000001" customHeight="1">
      <c r="A940" t="s">
        <v>952</v>
      </c>
      <c r="B940" s="3">
        <v>54</v>
      </c>
      <c r="C940" s="2">
        <v>4900000</v>
      </c>
      <c r="D940" s="2">
        <v>14700000</v>
      </c>
      <c r="E940" t="s">
        <v>9</v>
      </c>
      <c r="F940" t="s">
        <v>12</v>
      </c>
      <c r="G940" t="s">
        <v>12</v>
      </c>
      <c r="H940" s="3">
        <v>0</v>
      </c>
    </row>
    <row r="941" spans="1:8" ht="20.100000000000001" customHeight="1">
      <c r="A941" t="s">
        <v>953</v>
      </c>
      <c r="B941" s="3">
        <v>44</v>
      </c>
      <c r="C941" s="2">
        <v>22800000</v>
      </c>
      <c r="D941" s="2">
        <v>79100000</v>
      </c>
      <c r="E941" t="s">
        <v>16</v>
      </c>
      <c r="F941" t="s">
        <v>12</v>
      </c>
      <c r="G941" t="s">
        <v>10</v>
      </c>
      <c r="H941" s="3">
        <v>1</v>
      </c>
    </row>
    <row r="942" spans="1:8" ht="20.100000000000001" customHeight="1">
      <c r="A942" t="s">
        <v>954</v>
      </c>
      <c r="B942" s="3">
        <v>49</v>
      </c>
      <c r="C942" s="2">
        <v>4400000</v>
      </c>
      <c r="D942" s="2">
        <v>33800000</v>
      </c>
      <c r="E942" t="s">
        <v>9</v>
      </c>
      <c r="F942" t="s">
        <v>10</v>
      </c>
      <c r="G942" t="s">
        <v>10</v>
      </c>
      <c r="H942" s="3">
        <v>0</v>
      </c>
    </row>
    <row r="943" spans="1:8" ht="20.100000000000001" customHeight="1">
      <c r="A943" t="s">
        <v>955</v>
      </c>
      <c r="B943" s="3">
        <v>38</v>
      </c>
      <c r="C943" s="2">
        <v>2600000</v>
      </c>
      <c r="D943" s="2">
        <v>6700000</v>
      </c>
      <c r="E943" t="s">
        <v>16</v>
      </c>
      <c r="F943" t="s">
        <v>10</v>
      </c>
      <c r="G943" t="s">
        <v>10</v>
      </c>
      <c r="H943" s="3">
        <v>0</v>
      </c>
    </row>
    <row r="944" spans="1:8" ht="20.100000000000001" customHeight="1">
      <c r="A944" t="s">
        <v>956</v>
      </c>
      <c r="B944" s="3">
        <v>21</v>
      </c>
      <c r="C944" s="2">
        <v>6400000</v>
      </c>
      <c r="D944" s="2">
        <v>14800000</v>
      </c>
      <c r="E944" t="s">
        <v>14</v>
      </c>
      <c r="F944" t="s">
        <v>10</v>
      </c>
      <c r="G944" t="s">
        <v>10</v>
      </c>
      <c r="H944" s="3">
        <v>0</v>
      </c>
    </row>
    <row r="945" spans="1:8" ht="20.100000000000001" customHeight="1">
      <c r="A945" t="s">
        <v>957</v>
      </c>
      <c r="B945" s="3">
        <v>34</v>
      </c>
      <c r="C945" s="2">
        <v>5200000</v>
      </c>
      <c r="D945" s="2">
        <v>7300000</v>
      </c>
      <c r="E945" t="s">
        <v>9</v>
      </c>
      <c r="F945" t="s">
        <v>12</v>
      </c>
      <c r="G945" t="s">
        <v>12</v>
      </c>
      <c r="H945" s="3">
        <v>0</v>
      </c>
    </row>
    <row r="946" spans="1:8" ht="20.100000000000001" customHeight="1">
      <c r="A946" t="s">
        <v>958</v>
      </c>
      <c r="B946" s="3">
        <v>57</v>
      </c>
      <c r="C946" s="2">
        <v>8000000</v>
      </c>
      <c r="D946" s="2">
        <v>16100000</v>
      </c>
      <c r="E946" t="s">
        <v>14</v>
      </c>
      <c r="F946" t="s">
        <v>10</v>
      </c>
      <c r="G946" t="s">
        <v>12</v>
      </c>
      <c r="H946" s="3">
        <v>1</v>
      </c>
    </row>
    <row r="947" spans="1:8" ht="20.100000000000001" customHeight="1">
      <c r="A947" t="s">
        <v>959</v>
      </c>
      <c r="B947" s="3">
        <v>28</v>
      </c>
      <c r="C947" s="2">
        <v>9800000</v>
      </c>
      <c r="D947" s="2">
        <v>155000000</v>
      </c>
      <c r="E947" t="s">
        <v>16</v>
      </c>
      <c r="F947" t="s">
        <v>12</v>
      </c>
      <c r="G947" t="s">
        <v>12</v>
      </c>
      <c r="H947" s="3">
        <v>1</v>
      </c>
    </row>
    <row r="948" spans="1:8" ht="20.100000000000001" customHeight="1">
      <c r="A948" t="s">
        <v>960</v>
      </c>
      <c r="B948" s="3">
        <v>35</v>
      </c>
      <c r="C948" s="2">
        <v>6000000</v>
      </c>
      <c r="D948" s="2">
        <v>3400000</v>
      </c>
      <c r="E948" t="s">
        <v>9</v>
      </c>
      <c r="F948" t="s">
        <v>10</v>
      </c>
      <c r="G948" t="s">
        <v>10</v>
      </c>
      <c r="H948" s="3">
        <v>0</v>
      </c>
    </row>
    <row r="949" spans="1:8" ht="20.100000000000001" customHeight="1">
      <c r="A949" t="s">
        <v>961</v>
      </c>
      <c r="B949" s="3">
        <v>42</v>
      </c>
      <c r="C949" s="2">
        <v>4600000</v>
      </c>
      <c r="D949" s="2">
        <v>12900000</v>
      </c>
      <c r="E949" t="s">
        <v>9</v>
      </c>
      <c r="F949" t="s">
        <v>10</v>
      </c>
      <c r="G949" t="s">
        <v>12</v>
      </c>
      <c r="H949" s="3">
        <v>0</v>
      </c>
    </row>
    <row r="950" spans="1:8" ht="20.100000000000001" customHeight="1">
      <c r="A950" t="s">
        <v>962</v>
      </c>
      <c r="B950" s="3">
        <v>49</v>
      </c>
      <c r="C950" s="2">
        <v>23000000</v>
      </c>
      <c r="D950" s="2">
        <v>54700000</v>
      </c>
      <c r="E950" t="s">
        <v>16</v>
      </c>
      <c r="F950" t="s">
        <v>10</v>
      </c>
      <c r="G950" t="s">
        <v>12</v>
      </c>
      <c r="H950" s="3">
        <v>1</v>
      </c>
    </row>
    <row r="951" spans="1:8" ht="20.100000000000001" customHeight="1">
      <c r="A951" t="s">
        <v>963</v>
      </c>
      <c r="B951" s="3">
        <v>34</v>
      </c>
      <c r="C951" s="2">
        <v>6900000</v>
      </c>
      <c r="D951" s="2">
        <v>88700000</v>
      </c>
      <c r="E951" t="s">
        <v>16</v>
      </c>
      <c r="F951" t="s">
        <v>12</v>
      </c>
      <c r="G951" t="s">
        <v>10</v>
      </c>
      <c r="H951" s="3">
        <v>0</v>
      </c>
    </row>
    <row r="952" spans="1:8" ht="20.100000000000001" customHeight="1">
      <c r="A952" t="s">
        <v>964</v>
      </c>
      <c r="B952" s="3">
        <v>53</v>
      </c>
      <c r="C952" s="2">
        <v>6300000</v>
      </c>
      <c r="D952" s="2">
        <v>51500000</v>
      </c>
      <c r="E952" t="s">
        <v>9</v>
      </c>
      <c r="F952" t="s">
        <v>10</v>
      </c>
      <c r="G952" t="s">
        <v>10</v>
      </c>
      <c r="H952" s="3">
        <v>1</v>
      </c>
    </row>
    <row r="953" spans="1:8" ht="20.100000000000001" customHeight="1">
      <c r="A953" t="s">
        <v>965</v>
      </c>
      <c r="B953" s="3">
        <v>49</v>
      </c>
      <c r="C953" s="2">
        <v>3300000</v>
      </c>
      <c r="D953" s="2">
        <v>14700000</v>
      </c>
      <c r="E953" t="s">
        <v>16</v>
      </c>
      <c r="F953" t="s">
        <v>12</v>
      </c>
      <c r="G953" t="s">
        <v>12</v>
      </c>
      <c r="H953" s="3">
        <v>0</v>
      </c>
    </row>
    <row r="954" spans="1:8" ht="20.100000000000001" customHeight="1">
      <c r="A954" t="s">
        <v>966</v>
      </c>
      <c r="B954" s="3">
        <v>47</v>
      </c>
      <c r="C954" s="2">
        <v>4700000</v>
      </c>
      <c r="D954" s="2">
        <v>13100000</v>
      </c>
      <c r="E954" t="s">
        <v>9</v>
      </c>
      <c r="F954" t="s">
        <v>12</v>
      </c>
      <c r="G954" t="s">
        <v>10</v>
      </c>
      <c r="H954" s="3">
        <v>1</v>
      </c>
    </row>
    <row r="955" spans="1:8" ht="20.100000000000001" customHeight="1">
      <c r="A955" t="s">
        <v>967</v>
      </c>
      <c r="B955" s="3">
        <v>28</v>
      </c>
      <c r="C955" s="2">
        <v>4300000</v>
      </c>
      <c r="D955" s="2">
        <v>69500000</v>
      </c>
      <c r="E955" t="s">
        <v>16</v>
      </c>
      <c r="F955" t="s">
        <v>12</v>
      </c>
      <c r="G955" t="s">
        <v>10</v>
      </c>
      <c r="H955" s="3">
        <v>1</v>
      </c>
    </row>
    <row r="956" spans="1:8" ht="20.100000000000001" customHeight="1">
      <c r="A956" t="s">
        <v>968</v>
      </c>
      <c r="B956" s="3">
        <v>42</v>
      </c>
      <c r="C956" s="2">
        <v>7600000</v>
      </c>
      <c r="D956" s="2">
        <v>41500000</v>
      </c>
      <c r="E956" t="s">
        <v>14</v>
      </c>
      <c r="F956" t="s">
        <v>12</v>
      </c>
      <c r="G956" t="s">
        <v>12</v>
      </c>
      <c r="H956" s="3">
        <v>1</v>
      </c>
    </row>
    <row r="957" spans="1:8" ht="20.100000000000001" customHeight="1">
      <c r="A957" t="s">
        <v>969</v>
      </c>
      <c r="B957" s="3">
        <v>33</v>
      </c>
      <c r="C957" s="2">
        <v>3700000</v>
      </c>
      <c r="D957" s="2">
        <v>16400000</v>
      </c>
      <c r="E957" t="s">
        <v>9</v>
      </c>
      <c r="F957" t="s">
        <v>10</v>
      </c>
      <c r="G957" t="s">
        <v>12</v>
      </c>
      <c r="H957" s="3">
        <v>0</v>
      </c>
    </row>
    <row r="958" spans="1:8" ht="20.100000000000001" customHeight="1">
      <c r="A958" t="s">
        <v>970</v>
      </c>
      <c r="B958" s="3">
        <v>38</v>
      </c>
      <c r="C958" s="2">
        <v>6200000</v>
      </c>
      <c r="D958" s="2">
        <v>107900000</v>
      </c>
      <c r="E958" t="s">
        <v>16</v>
      </c>
      <c r="F958" t="s">
        <v>12</v>
      </c>
      <c r="G958" t="s">
        <v>12</v>
      </c>
      <c r="H958" s="3">
        <v>0</v>
      </c>
    </row>
    <row r="959" spans="1:8" ht="20.100000000000001" customHeight="1">
      <c r="A959" t="s">
        <v>971</v>
      </c>
      <c r="B959" s="3">
        <v>25</v>
      </c>
      <c r="C959" s="2">
        <v>6700000</v>
      </c>
      <c r="D959" s="2">
        <v>17500000</v>
      </c>
      <c r="E959" t="s">
        <v>16</v>
      </c>
      <c r="F959" t="s">
        <v>10</v>
      </c>
      <c r="G959" t="s">
        <v>12</v>
      </c>
      <c r="H959" s="3">
        <v>0</v>
      </c>
    </row>
    <row r="960" spans="1:8" ht="20.100000000000001" customHeight="1">
      <c r="A960" t="s">
        <v>972</v>
      </c>
      <c r="B960" s="3">
        <v>44</v>
      </c>
      <c r="C960" s="2">
        <v>5000000</v>
      </c>
      <c r="D960" s="2">
        <v>14500000</v>
      </c>
      <c r="E960" t="s">
        <v>9</v>
      </c>
      <c r="F960" t="s">
        <v>12</v>
      </c>
      <c r="G960" t="s">
        <v>10</v>
      </c>
      <c r="H960" s="3">
        <v>0</v>
      </c>
    </row>
    <row r="961" spans="1:8" ht="20.100000000000001" customHeight="1">
      <c r="A961" t="s">
        <v>973</v>
      </c>
      <c r="B961" s="3">
        <v>22</v>
      </c>
      <c r="C961" s="2">
        <v>6400000</v>
      </c>
      <c r="D961" s="2">
        <v>15400000</v>
      </c>
      <c r="E961" t="s">
        <v>16</v>
      </c>
      <c r="F961" t="s">
        <v>10</v>
      </c>
      <c r="G961" t="s">
        <v>10</v>
      </c>
      <c r="H961" s="3">
        <v>0</v>
      </c>
    </row>
    <row r="962" spans="1:8" ht="20.100000000000001" customHeight="1">
      <c r="A962" t="s">
        <v>974</v>
      </c>
      <c r="B962" s="3">
        <v>49</v>
      </c>
      <c r="C962" s="2">
        <v>7300000</v>
      </c>
      <c r="D962" s="2">
        <v>54100000</v>
      </c>
      <c r="E962" t="s">
        <v>9</v>
      </c>
      <c r="F962" t="s">
        <v>10</v>
      </c>
      <c r="G962" t="s">
        <v>10</v>
      </c>
      <c r="H962" s="3">
        <v>0</v>
      </c>
    </row>
    <row r="963" spans="1:8" ht="20.100000000000001" customHeight="1">
      <c r="A963" t="s">
        <v>975</v>
      </c>
      <c r="B963" s="3">
        <v>24</v>
      </c>
      <c r="C963" s="2">
        <v>15300000</v>
      </c>
      <c r="D963" s="2">
        <v>125600000</v>
      </c>
      <c r="E963" t="s">
        <v>14</v>
      </c>
      <c r="F963" t="s">
        <v>10</v>
      </c>
      <c r="G963" t="s">
        <v>12</v>
      </c>
      <c r="H963" s="3">
        <v>1</v>
      </c>
    </row>
    <row r="964" spans="1:8" ht="20.100000000000001" customHeight="1">
      <c r="A964" t="s">
        <v>976</v>
      </c>
      <c r="B964" s="3">
        <v>33</v>
      </c>
      <c r="C964" s="2">
        <v>9300000</v>
      </c>
      <c r="D964" s="2">
        <v>33300000</v>
      </c>
      <c r="E964" t="s">
        <v>14</v>
      </c>
      <c r="F964" t="s">
        <v>12</v>
      </c>
      <c r="G964" t="s">
        <v>10</v>
      </c>
      <c r="H964" s="3">
        <v>0</v>
      </c>
    </row>
    <row r="965" spans="1:8" ht="20.100000000000001" customHeight="1">
      <c r="A965" t="s">
        <v>977</v>
      </c>
      <c r="B965" s="3">
        <v>43</v>
      </c>
      <c r="C965" s="2">
        <v>5100000</v>
      </c>
      <c r="D965" s="2">
        <v>18300000</v>
      </c>
      <c r="E965" t="s">
        <v>14</v>
      </c>
      <c r="F965" t="s">
        <v>12</v>
      </c>
      <c r="G965" t="s">
        <v>12</v>
      </c>
      <c r="H965" s="3">
        <v>0</v>
      </c>
    </row>
    <row r="966" spans="1:8" ht="20.100000000000001" customHeight="1">
      <c r="A966" t="s">
        <v>978</v>
      </c>
      <c r="B966" s="3">
        <v>50</v>
      </c>
      <c r="C966" s="2">
        <v>13500000</v>
      </c>
      <c r="D966" s="2">
        <v>19500000</v>
      </c>
      <c r="E966" t="s">
        <v>16</v>
      </c>
      <c r="F966" t="s">
        <v>10</v>
      </c>
      <c r="G966" t="s">
        <v>12</v>
      </c>
      <c r="H966" s="3">
        <v>0</v>
      </c>
    </row>
    <row r="967" spans="1:8" ht="20.100000000000001" customHeight="1">
      <c r="A967" t="s">
        <v>979</v>
      </c>
      <c r="B967" s="3">
        <v>28</v>
      </c>
      <c r="C967" s="2">
        <v>6200000</v>
      </c>
      <c r="D967" s="2">
        <v>9500000</v>
      </c>
      <c r="E967" t="s">
        <v>9</v>
      </c>
      <c r="F967" t="s">
        <v>10</v>
      </c>
      <c r="G967" t="s">
        <v>10</v>
      </c>
      <c r="H967" s="3">
        <v>0</v>
      </c>
    </row>
    <row r="968" spans="1:8" ht="20.100000000000001" customHeight="1">
      <c r="A968" t="s">
        <v>980</v>
      </c>
      <c r="B968" s="3">
        <v>42</v>
      </c>
      <c r="C968" s="2">
        <v>4500000</v>
      </c>
      <c r="D968" s="2">
        <v>54700000</v>
      </c>
      <c r="E968" t="s">
        <v>14</v>
      </c>
      <c r="F968" t="s">
        <v>10</v>
      </c>
      <c r="G968" t="s">
        <v>10</v>
      </c>
      <c r="H968" s="3">
        <v>0</v>
      </c>
    </row>
    <row r="969" spans="1:8" ht="20.100000000000001" customHeight="1">
      <c r="A969" t="s">
        <v>981</v>
      </c>
      <c r="B969" s="3">
        <v>26</v>
      </c>
      <c r="C969" s="2">
        <v>9300000</v>
      </c>
      <c r="D969" s="2">
        <v>116300000</v>
      </c>
      <c r="E969" t="s">
        <v>9</v>
      </c>
      <c r="F969" t="s">
        <v>12</v>
      </c>
      <c r="G969" t="s">
        <v>12</v>
      </c>
      <c r="H969" s="3">
        <v>0</v>
      </c>
    </row>
    <row r="970" spans="1:8" ht="20.100000000000001" customHeight="1">
      <c r="A970" t="s">
        <v>982</v>
      </c>
      <c r="B970" s="3">
        <v>36</v>
      </c>
      <c r="C970" s="2">
        <v>7400000</v>
      </c>
      <c r="D970" s="2">
        <v>20100000</v>
      </c>
      <c r="E970" t="s">
        <v>9</v>
      </c>
      <c r="F970" t="s">
        <v>10</v>
      </c>
      <c r="G970" t="s">
        <v>12</v>
      </c>
      <c r="H970" s="3">
        <v>0</v>
      </c>
    </row>
    <row r="971" spans="1:8" ht="20.100000000000001" customHeight="1">
      <c r="A971" t="s">
        <v>983</v>
      </c>
      <c r="B971" s="3">
        <v>28</v>
      </c>
      <c r="C971" s="2">
        <v>5800000</v>
      </c>
      <c r="D971" s="2">
        <v>31600000</v>
      </c>
      <c r="E971" t="s">
        <v>14</v>
      </c>
      <c r="F971" t="s">
        <v>10</v>
      </c>
      <c r="G971" t="s">
        <v>12</v>
      </c>
      <c r="H971" s="3">
        <v>0</v>
      </c>
    </row>
    <row r="972" spans="1:8" ht="20.100000000000001" customHeight="1">
      <c r="A972" t="s">
        <v>984</v>
      </c>
      <c r="B972" s="3">
        <v>59</v>
      </c>
      <c r="C972" s="2">
        <v>2300000</v>
      </c>
      <c r="D972" s="2">
        <v>8100000</v>
      </c>
      <c r="E972" t="s">
        <v>31</v>
      </c>
      <c r="F972" t="s">
        <v>10</v>
      </c>
      <c r="G972" t="s">
        <v>12</v>
      </c>
      <c r="H972" s="3">
        <v>0</v>
      </c>
    </row>
    <row r="973" spans="1:8" ht="20.100000000000001" customHeight="1">
      <c r="A973" t="s">
        <v>985</v>
      </c>
      <c r="B973" s="3">
        <v>27</v>
      </c>
      <c r="C973" s="2">
        <v>6500000</v>
      </c>
      <c r="D973" s="2">
        <v>33700000</v>
      </c>
      <c r="E973" t="s">
        <v>9</v>
      </c>
      <c r="F973" t="s">
        <v>10</v>
      </c>
      <c r="G973" t="s">
        <v>12</v>
      </c>
      <c r="H973" s="3">
        <v>0</v>
      </c>
    </row>
    <row r="974" spans="1:8" ht="20.100000000000001" customHeight="1">
      <c r="A974" t="s">
        <v>986</v>
      </c>
      <c r="B974" s="3">
        <v>47</v>
      </c>
      <c r="C974" s="2">
        <v>10800000</v>
      </c>
      <c r="D974" s="2">
        <v>9200000</v>
      </c>
      <c r="E974" t="s">
        <v>14</v>
      </c>
      <c r="F974" t="s">
        <v>12</v>
      </c>
      <c r="G974" t="s">
        <v>10</v>
      </c>
      <c r="H974" s="3">
        <v>1</v>
      </c>
    </row>
    <row r="975" spans="1:8" ht="20.100000000000001" customHeight="1">
      <c r="A975" t="s">
        <v>987</v>
      </c>
      <c r="B975" s="3">
        <v>21</v>
      </c>
      <c r="C975" s="2">
        <v>6500000</v>
      </c>
      <c r="D975" s="2">
        <v>36700000</v>
      </c>
      <c r="E975" t="s">
        <v>14</v>
      </c>
      <c r="F975" t="s">
        <v>12</v>
      </c>
      <c r="G975" t="s">
        <v>10</v>
      </c>
      <c r="H975" s="3">
        <v>0</v>
      </c>
    </row>
    <row r="976" spans="1:8" ht="20.100000000000001" customHeight="1">
      <c r="A976" t="s">
        <v>988</v>
      </c>
      <c r="B976" s="3">
        <v>21</v>
      </c>
      <c r="C976" s="2">
        <v>3900000</v>
      </c>
      <c r="D976" s="2">
        <v>33800000</v>
      </c>
      <c r="E976" t="s">
        <v>9</v>
      </c>
      <c r="F976" t="s">
        <v>10</v>
      </c>
      <c r="G976" t="s">
        <v>10</v>
      </c>
      <c r="H976" s="3">
        <v>0</v>
      </c>
    </row>
    <row r="977" spans="1:8" ht="20.100000000000001" customHeight="1">
      <c r="A977" t="s">
        <v>989</v>
      </c>
      <c r="B977" s="3">
        <v>46</v>
      </c>
      <c r="C977" s="2">
        <v>6700000</v>
      </c>
      <c r="D977" s="2">
        <v>40300000</v>
      </c>
      <c r="E977" t="s">
        <v>9</v>
      </c>
      <c r="F977" t="s">
        <v>12</v>
      </c>
      <c r="G977" t="s">
        <v>10</v>
      </c>
      <c r="H977" s="3">
        <v>0</v>
      </c>
    </row>
    <row r="978" spans="1:8" ht="20.100000000000001" customHeight="1">
      <c r="A978" t="s">
        <v>990</v>
      </c>
      <c r="B978" s="3">
        <v>35</v>
      </c>
      <c r="C978" s="2">
        <v>7900000</v>
      </c>
      <c r="D978" s="2">
        <v>84200000</v>
      </c>
      <c r="E978" t="s">
        <v>9</v>
      </c>
      <c r="F978" t="s">
        <v>10</v>
      </c>
      <c r="G978" t="s">
        <v>12</v>
      </c>
      <c r="H978" s="3">
        <v>0</v>
      </c>
    </row>
    <row r="979" spans="1:8" ht="20.100000000000001" customHeight="1">
      <c r="A979" t="s">
        <v>991</v>
      </c>
      <c r="B979" s="3">
        <v>55</v>
      </c>
      <c r="C979" s="2">
        <v>5100000</v>
      </c>
      <c r="D979" s="2">
        <v>10100000</v>
      </c>
      <c r="E979" t="s">
        <v>16</v>
      </c>
      <c r="F979" t="s">
        <v>10</v>
      </c>
      <c r="G979" t="s">
        <v>12</v>
      </c>
      <c r="H979" s="3">
        <v>0</v>
      </c>
    </row>
    <row r="980" spans="1:8" ht="20.100000000000001" customHeight="1">
      <c r="A980" t="s">
        <v>992</v>
      </c>
      <c r="B980" s="3">
        <v>36</v>
      </c>
      <c r="C980" s="2">
        <v>9000000</v>
      </c>
      <c r="D980" s="2">
        <v>10000000</v>
      </c>
      <c r="E980" t="s">
        <v>9</v>
      </c>
      <c r="F980" t="s">
        <v>10</v>
      </c>
      <c r="G980" t="s">
        <v>12</v>
      </c>
      <c r="H980" s="3">
        <v>0</v>
      </c>
    </row>
    <row r="981" spans="1:8" ht="20.100000000000001" customHeight="1">
      <c r="A981" t="s">
        <v>993</v>
      </c>
      <c r="B981" s="3">
        <v>61</v>
      </c>
      <c r="C981" s="2">
        <v>3200000</v>
      </c>
      <c r="D981" s="2">
        <v>21400000</v>
      </c>
      <c r="E981" t="s">
        <v>31</v>
      </c>
      <c r="F981" t="s">
        <v>12</v>
      </c>
      <c r="G981" t="s">
        <v>12</v>
      </c>
      <c r="H981" s="3">
        <v>1</v>
      </c>
    </row>
    <row r="982" spans="1:8" ht="20.100000000000001" customHeight="1">
      <c r="A982" t="s">
        <v>994</v>
      </c>
      <c r="B982" s="3">
        <v>57</v>
      </c>
      <c r="C982" s="2">
        <v>9000000</v>
      </c>
      <c r="D982" s="2">
        <v>155000000</v>
      </c>
      <c r="E982" t="s">
        <v>16</v>
      </c>
      <c r="F982" t="s">
        <v>12</v>
      </c>
      <c r="G982" t="s">
        <v>10</v>
      </c>
      <c r="H982" s="3">
        <v>1</v>
      </c>
    </row>
    <row r="983" spans="1:8" ht="20.100000000000001" customHeight="1">
      <c r="A983" t="s">
        <v>995</v>
      </c>
      <c r="B983" s="3">
        <v>33</v>
      </c>
      <c r="C983" s="2">
        <v>8200000</v>
      </c>
      <c r="D983" s="2">
        <v>17900000</v>
      </c>
      <c r="E983" t="s">
        <v>9</v>
      </c>
      <c r="F983" t="s">
        <v>12</v>
      </c>
      <c r="G983" t="s">
        <v>12</v>
      </c>
      <c r="H983" s="3">
        <v>0</v>
      </c>
    </row>
    <row r="984" spans="1:8" ht="20.100000000000001" customHeight="1">
      <c r="A984" t="s">
        <v>996</v>
      </c>
      <c r="B984" s="3">
        <v>29</v>
      </c>
      <c r="C984" s="2">
        <v>3900000</v>
      </c>
      <c r="D984" s="2">
        <v>8000000</v>
      </c>
      <c r="E984" t="s">
        <v>9</v>
      </c>
      <c r="F984" t="s">
        <v>10</v>
      </c>
      <c r="G984" t="s">
        <v>10</v>
      </c>
      <c r="H984" s="3">
        <v>1</v>
      </c>
    </row>
    <row r="985" spans="1:8" ht="20.100000000000001" customHeight="1">
      <c r="A985" t="s">
        <v>997</v>
      </c>
      <c r="B985" s="3">
        <v>58</v>
      </c>
      <c r="C985" s="2">
        <v>9400000</v>
      </c>
      <c r="D985" s="2">
        <v>22600000</v>
      </c>
      <c r="E985" t="s">
        <v>16</v>
      </c>
      <c r="F985" t="s">
        <v>10</v>
      </c>
      <c r="G985" t="s">
        <v>12</v>
      </c>
      <c r="H985" s="3">
        <v>0</v>
      </c>
    </row>
    <row r="986" spans="1:8" ht="20.100000000000001" customHeight="1">
      <c r="A986" t="s">
        <v>998</v>
      </c>
      <c r="B986" s="3">
        <v>45</v>
      </c>
      <c r="C986" s="2">
        <v>10800000</v>
      </c>
      <c r="D986" s="2">
        <v>28600000</v>
      </c>
      <c r="E986" t="s">
        <v>9</v>
      </c>
      <c r="F986" t="s">
        <v>10</v>
      </c>
      <c r="G986" t="s">
        <v>10</v>
      </c>
      <c r="H986" s="3">
        <v>1</v>
      </c>
    </row>
    <row r="987" spans="1:8" ht="20.100000000000001" customHeight="1">
      <c r="A987" t="s">
        <v>999</v>
      </c>
      <c r="B987" s="3">
        <v>33</v>
      </c>
      <c r="C987" s="2">
        <v>5300000</v>
      </c>
      <c r="D987" s="2">
        <v>30500000</v>
      </c>
      <c r="E987" t="s">
        <v>9</v>
      </c>
      <c r="F987" t="s">
        <v>12</v>
      </c>
      <c r="G987" t="s">
        <v>10</v>
      </c>
      <c r="H987" s="3">
        <v>1</v>
      </c>
    </row>
    <row r="988" spans="1:8" ht="20.100000000000001" customHeight="1">
      <c r="A988" t="s">
        <v>1000</v>
      </c>
      <c r="B988" s="3">
        <v>38</v>
      </c>
      <c r="C988" s="2">
        <v>6400000</v>
      </c>
      <c r="D988" s="2">
        <v>22000000</v>
      </c>
      <c r="E988" t="s">
        <v>9</v>
      </c>
      <c r="F988" t="s">
        <v>10</v>
      </c>
      <c r="G988" t="s">
        <v>12</v>
      </c>
      <c r="H988" s="3">
        <v>0</v>
      </c>
    </row>
    <row r="989" spans="1:8" ht="20.100000000000001" customHeight="1">
      <c r="A989" t="s">
        <v>1001</v>
      </c>
      <c r="B989" s="3">
        <v>70</v>
      </c>
      <c r="C989" s="2">
        <v>7800000</v>
      </c>
      <c r="D989" s="2">
        <v>53800000</v>
      </c>
      <c r="E989" t="s">
        <v>16</v>
      </c>
      <c r="F989" t="s">
        <v>12</v>
      </c>
      <c r="G989" t="s">
        <v>10</v>
      </c>
      <c r="H989" s="3">
        <v>1</v>
      </c>
    </row>
    <row r="990" spans="1:8" ht="20.100000000000001" customHeight="1">
      <c r="A990" t="s">
        <v>1002</v>
      </c>
      <c r="B990" s="3">
        <v>26</v>
      </c>
      <c r="C990" s="2">
        <v>7500000</v>
      </c>
      <c r="D990" s="2">
        <v>33100000</v>
      </c>
      <c r="E990" t="s">
        <v>9</v>
      </c>
      <c r="F990" t="s">
        <v>10</v>
      </c>
      <c r="G990" t="s">
        <v>12</v>
      </c>
      <c r="H990" s="3">
        <v>0</v>
      </c>
    </row>
    <row r="991" spans="1:8" ht="20.100000000000001" customHeight="1">
      <c r="A991" t="s">
        <v>1003</v>
      </c>
      <c r="B991" s="3">
        <v>51</v>
      </c>
      <c r="C991" s="2">
        <v>9000000</v>
      </c>
      <c r="D991" s="2">
        <v>35800000</v>
      </c>
      <c r="E991" t="s">
        <v>9</v>
      </c>
      <c r="F991" t="s">
        <v>12</v>
      </c>
      <c r="G991" t="s">
        <v>12</v>
      </c>
      <c r="H991" s="3">
        <v>0</v>
      </c>
    </row>
    <row r="992" spans="1:8" ht="20.100000000000001" customHeight="1">
      <c r="A992" t="s">
        <v>1004</v>
      </c>
      <c r="B992" s="3">
        <v>42</v>
      </c>
      <c r="C992" s="2">
        <v>2900000</v>
      </c>
      <c r="D992" s="2">
        <v>8200000</v>
      </c>
      <c r="E992" t="s">
        <v>16</v>
      </c>
      <c r="F992" t="s">
        <v>10</v>
      </c>
      <c r="G992" t="s">
        <v>10</v>
      </c>
      <c r="H992" s="3">
        <v>0</v>
      </c>
    </row>
    <row r="993" spans="1:8" ht="20.100000000000001" customHeight="1">
      <c r="A993" t="s">
        <v>1005</v>
      </c>
      <c r="B993" s="3">
        <v>55</v>
      </c>
      <c r="C993" s="2">
        <v>6200000</v>
      </c>
      <c r="D993" s="2">
        <v>22100000</v>
      </c>
      <c r="E993" t="s">
        <v>14</v>
      </c>
      <c r="F993" t="s">
        <v>10</v>
      </c>
      <c r="G993" t="s">
        <v>10</v>
      </c>
      <c r="H993" s="3">
        <v>0</v>
      </c>
    </row>
    <row r="994" spans="1:8" ht="20.100000000000001" customHeight="1">
      <c r="A994" t="s">
        <v>1006</v>
      </c>
      <c r="B994" s="3">
        <v>32</v>
      </c>
      <c r="C994" s="2">
        <v>4900000</v>
      </c>
      <c r="D994" s="2">
        <v>28400000</v>
      </c>
      <c r="E994" t="s">
        <v>9</v>
      </c>
      <c r="F994" t="s">
        <v>10</v>
      </c>
      <c r="G994" t="s">
        <v>10</v>
      </c>
      <c r="H994" s="3">
        <v>1</v>
      </c>
    </row>
    <row r="995" spans="1:8" ht="20.100000000000001" customHeight="1">
      <c r="A995" t="s">
        <v>1007</v>
      </c>
      <c r="B995" s="3">
        <v>47</v>
      </c>
      <c r="C995" s="2">
        <v>10900000</v>
      </c>
      <c r="D995" s="2">
        <v>75700000</v>
      </c>
      <c r="E995" t="s">
        <v>16</v>
      </c>
      <c r="F995" t="s">
        <v>10</v>
      </c>
      <c r="G995" t="s">
        <v>10</v>
      </c>
      <c r="H995" s="3">
        <v>1</v>
      </c>
    </row>
    <row r="996" spans="1:8" ht="20.100000000000001" customHeight="1">
      <c r="A996" t="s">
        <v>1008</v>
      </c>
      <c r="B996" s="3">
        <v>52</v>
      </c>
      <c r="C996" s="2">
        <v>5200000</v>
      </c>
      <c r="D996" s="2">
        <v>34900000</v>
      </c>
      <c r="E996" t="s">
        <v>9</v>
      </c>
      <c r="F996" t="s">
        <v>12</v>
      </c>
      <c r="G996" t="s">
        <v>10</v>
      </c>
      <c r="H996" s="3">
        <v>0</v>
      </c>
    </row>
    <row r="997" spans="1:8" ht="20.100000000000001" customHeight="1">
      <c r="A997" t="s">
        <v>1009</v>
      </c>
      <c r="B997" s="3">
        <v>39</v>
      </c>
      <c r="C997" s="2">
        <v>5800000</v>
      </c>
      <c r="D997" s="2">
        <v>33200000</v>
      </c>
      <c r="E997" t="s">
        <v>9</v>
      </c>
      <c r="F997" t="s">
        <v>12</v>
      </c>
      <c r="G997" t="s">
        <v>10</v>
      </c>
      <c r="H997" s="3">
        <v>0</v>
      </c>
    </row>
    <row r="998" spans="1:8" ht="20.100000000000001" customHeight="1">
      <c r="A998" t="s">
        <v>1010</v>
      </c>
      <c r="B998" s="3">
        <v>42</v>
      </c>
      <c r="C998" s="2">
        <v>9000000</v>
      </c>
      <c r="D998" s="2">
        <v>155000000</v>
      </c>
      <c r="E998" t="s">
        <v>9</v>
      </c>
      <c r="F998" t="s">
        <v>12</v>
      </c>
      <c r="G998" t="s">
        <v>12</v>
      </c>
      <c r="H998" s="3">
        <v>0</v>
      </c>
    </row>
    <row r="999" spans="1:8" ht="20.100000000000001" customHeight="1">
      <c r="A999" t="s">
        <v>1011</v>
      </c>
      <c r="B999" s="3">
        <v>37</v>
      </c>
      <c r="C999" s="2">
        <v>12200000</v>
      </c>
      <c r="D999" s="2">
        <v>39000000</v>
      </c>
      <c r="E999" t="s">
        <v>16</v>
      </c>
      <c r="F999" t="s">
        <v>12</v>
      </c>
      <c r="G999" t="s">
        <v>10</v>
      </c>
      <c r="H999" s="3">
        <v>1</v>
      </c>
    </row>
    <row r="1000" spans="1:8" ht="20.100000000000001" customHeight="1">
      <c r="A1000" t="s">
        <v>1012</v>
      </c>
      <c r="B1000" s="3">
        <v>39</v>
      </c>
      <c r="C1000" s="2">
        <v>5500000</v>
      </c>
      <c r="D1000" s="2">
        <v>17600000</v>
      </c>
      <c r="E1000" t="s">
        <v>9</v>
      </c>
      <c r="F1000" t="s">
        <v>10</v>
      </c>
      <c r="G1000" t="s">
        <v>12</v>
      </c>
      <c r="H1000" s="3">
        <v>0</v>
      </c>
    </row>
    <row r="1001" spans="1:8" ht="20.100000000000001" customHeight="1">
      <c r="A1001" t="s">
        <v>1013</v>
      </c>
      <c r="B1001" s="3">
        <v>38</v>
      </c>
      <c r="C1001" s="2">
        <v>13800000</v>
      </c>
      <c r="D1001" s="2">
        <v>38300000</v>
      </c>
      <c r="E1001" t="s">
        <v>16</v>
      </c>
      <c r="F1001" t="s">
        <v>12</v>
      </c>
      <c r="G1001" t="s">
        <v>10</v>
      </c>
      <c r="H1001" s="3">
        <v>1</v>
      </c>
    </row>
  </sheetData>
  <conditionalFormatting sqref="H2:H1001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6" topLeftCell="A7" activePane="bottomLeft" state="frozen"/>
      <selection pane="bottomLeft"/>
    </sheetView>
  </sheetViews>
  <sheetFormatPr defaultRowHeight="14.25"/>
  <cols>
    <col min="1" max="1" width="13" customWidth="1"/>
    <col min="2" max="2" width="28" customWidth="1"/>
    <col min="3" max="3" width="23" customWidth="1"/>
    <col min="4" max="4" width="40" customWidth="1"/>
    <col min="5" max="5" width="66" customWidth="1"/>
  </cols>
  <sheetData>
    <row r="1" spans="1:5" ht="24.95" customHeight="1">
      <c r="A1" s="11" t="s">
        <v>1014</v>
      </c>
      <c r="B1" s="11"/>
      <c r="C1" s="11"/>
      <c r="D1" s="11"/>
      <c r="E1" s="11"/>
    </row>
    <row r="2" spans="1:5" ht="24.95" customHeight="1">
      <c r="A2" s="11"/>
      <c r="B2" s="11"/>
      <c r="C2" s="11"/>
      <c r="D2" s="11"/>
      <c r="E2" s="11"/>
    </row>
    <row r="4" spans="1:5" ht="30" customHeight="1">
      <c r="A4" s="12" t="s">
        <v>1015</v>
      </c>
      <c r="B4" s="12"/>
      <c r="C4" s="12"/>
      <c r="D4" s="12"/>
      <c r="E4" s="12"/>
    </row>
    <row r="6" spans="1:5" ht="26.1" customHeight="1">
      <c r="A6" s="5" t="s">
        <v>1016</v>
      </c>
      <c r="B6" s="5" t="s">
        <v>1017</v>
      </c>
      <c r="C6" s="5" t="s">
        <v>1018</v>
      </c>
      <c r="D6" s="5" t="s">
        <v>1019</v>
      </c>
      <c r="E6" s="5" t="s">
        <v>1020</v>
      </c>
    </row>
    <row r="7" spans="1:5" ht="35.1" customHeight="1">
      <c r="A7" s="6" t="s">
        <v>1021</v>
      </c>
      <c r="B7" s="6" t="s">
        <v>0</v>
      </c>
      <c r="C7" s="6" t="s">
        <v>1022</v>
      </c>
      <c r="D7" s="6" t="s">
        <v>1023</v>
      </c>
      <c r="E7" s="6" t="s">
        <v>1024</v>
      </c>
    </row>
    <row r="8" spans="1:5" ht="35.1" customHeight="1">
      <c r="A8" s="6" t="s">
        <v>1025</v>
      </c>
      <c r="B8" s="6" t="s">
        <v>1</v>
      </c>
      <c r="C8" s="6" t="s">
        <v>1026</v>
      </c>
      <c r="D8" s="6" t="s">
        <v>1027</v>
      </c>
      <c r="E8" s="6" t="s">
        <v>1028</v>
      </c>
    </row>
    <row r="9" spans="1:5" ht="35.1" customHeight="1">
      <c r="A9" s="6" t="s">
        <v>1029</v>
      </c>
      <c r="B9" s="6" t="s">
        <v>2</v>
      </c>
      <c r="C9" s="6" t="s">
        <v>1030</v>
      </c>
      <c r="D9" s="6" t="s">
        <v>1031</v>
      </c>
      <c r="E9" s="6" t="s">
        <v>1032</v>
      </c>
    </row>
    <row r="10" spans="1:5" ht="35.1" customHeight="1">
      <c r="A10" s="6" t="s">
        <v>1033</v>
      </c>
      <c r="B10" s="6" t="s">
        <v>3</v>
      </c>
      <c r="C10" s="6" t="s">
        <v>1030</v>
      </c>
      <c r="D10" s="6" t="s">
        <v>1034</v>
      </c>
      <c r="E10" s="6" t="s">
        <v>1035</v>
      </c>
    </row>
    <row r="11" spans="1:5" ht="35.1" customHeight="1">
      <c r="A11" s="6" t="s">
        <v>1036</v>
      </c>
      <c r="B11" s="6" t="s">
        <v>4</v>
      </c>
      <c r="C11" s="6" t="s">
        <v>1037</v>
      </c>
      <c r="D11" s="6" t="s">
        <v>1038</v>
      </c>
      <c r="E11" s="6" t="s">
        <v>1039</v>
      </c>
    </row>
    <row r="12" spans="1:5" ht="35.1" customHeight="1">
      <c r="A12" s="6" t="s">
        <v>1040</v>
      </c>
      <c r="B12" s="6" t="s">
        <v>5</v>
      </c>
      <c r="C12" s="6" t="s">
        <v>1041</v>
      </c>
      <c r="D12" s="6" t="s">
        <v>1042</v>
      </c>
      <c r="E12" s="6" t="s">
        <v>1043</v>
      </c>
    </row>
    <row r="13" spans="1:5" ht="35.1" customHeight="1">
      <c r="A13" s="6" t="s">
        <v>1044</v>
      </c>
      <c r="B13" s="6" t="s">
        <v>6</v>
      </c>
      <c r="C13" s="6" t="s">
        <v>1041</v>
      </c>
      <c r="D13" s="6" t="s">
        <v>1042</v>
      </c>
      <c r="E13" s="6" t="s">
        <v>1045</v>
      </c>
    </row>
    <row r="14" spans="1:5" ht="35.1" customHeight="1">
      <c r="A14" s="6" t="s">
        <v>1046</v>
      </c>
      <c r="B14" s="6" t="s">
        <v>7</v>
      </c>
      <c r="C14" s="6" t="s">
        <v>1047</v>
      </c>
      <c r="D14" s="6" t="s">
        <v>1048</v>
      </c>
      <c r="E14" s="6" t="s">
        <v>1049</v>
      </c>
    </row>
    <row r="16" spans="1:5" ht="33.950000000000003" customHeight="1">
      <c r="A16" s="13" t="s">
        <v>1050</v>
      </c>
      <c r="B16" s="13"/>
      <c r="C16" s="13"/>
      <c r="D16" s="13"/>
      <c r="E16" s="13"/>
    </row>
  </sheetData>
  <mergeCells count="3">
    <mergeCell ref="A1:E2"/>
    <mergeCell ref="A4:E4"/>
    <mergeCell ref="A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4.25"/>
  <cols>
    <col min="1" max="1" width="36" customWidth="1"/>
    <col min="2" max="2" width="22" customWidth="1"/>
    <col min="3" max="7" width="12" customWidth="1"/>
  </cols>
  <sheetData>
    <row r="1" spans="1:7" ht="24.95" customHeight="1">
      <c r="A1" s="14" t="s">
        <v>1051</v>
      </c>
      <c r="B1" s="14"/>
      <c r="C1" s="14"/>
      <c r="D1" s="14"/>
      <c r="E1" s="14"/>
      <c r="F1" s="14"/>
      <c r="G1" s="14"/>
    </row>
    <row r="2" spans="1:7" ht="24.95" customHeight="1">
      <c r="A2" s="14"/>
      <c r="B2" s="14"/>
      <c r="C2" s="14"/>
      <c r="D2" s="14"/>
      <c r="E2" s="14"/>
      <c r="F2" s="14"/>
      <c r="G2" s="14"/>
    </row>
    <row r="4" spans="1:7" ht="26.1" customHeight="1">
      <c r="A4" s="15" t="s">
        <v>1052</v>
      </c>
      <c r="B4" s="15"/>
      <c r="C4" s="15"/>
      <c r="D4" s="15"/>
      <c r="E4" s="15"/>
      <c r="F4" s="15"/>
      <c r="G4" s="15"/>
    </row>
    <row r="6" spans="1:7" ht="24" customHeight="1">
      <c r="A6" s="4" t="s">
        <v>1053</v>
      </c>
      <c r="B6" s="4" t="s">
        <v>1054</v>
      </c>
    </row>
    <row r="7" spans="1:7" ht="24.95" customHeight="1">
      <c r="A7" s="8" t="s">
        <v>1055</v>
      </c>
      <c r="B7">
        <f>COUNTA(Data_Simulasi!A2:A1001)</f>
        <v>1000</v>
      </c>
    </row>
    <row r="8" spans="1:7" ht="24.95" customHeight="1">
      <c r="A8" s="8" t="s">
        <v>1056</v>
      </c>
      <c r="B8">
        <f>COUNTIF(Data_Simulasi!H2:H1001,1)</f>
        <v>314</v>
      </c>
    </row>
    <row r="9" spans="1:7" ht="24.95" customHeight="1">
      <c r="A9" s="8" t="s">
        <v>1057</v>
      </c>
      <c r="B9">
        <f>COUNTIF(Data_Simulasi!H2:H1001,0)</f>
        <v>686</v>
      </c>
    </row>
    <row r="10" spans="1:7" ht="24.95" customHeight="1">
      <c r="A10" s="9" t="s">
        <v>1058</v>
      </c>
      <c r="B10" s="10">
        <f>B8/B7</f>
        <v>0.314</v>
      </c>
    </row>
    <row r="11" spans="1:7" ht="24.95" customHeight="1">
      <c r="A11" s="8" t="s">
        <v>1059</v>
      </c>
      <c r="B11">
        <f>MIN(Data_Simulasi!B2:B1001)</f>
        <v>21</v>
      </c>
    </row>
    <row r="12" spans="1:7" ht="24.95" customHeight="1">
      <c r="A12" s="8" t="s">
        <v>1060</v>
      </c>
      <c r="B12">
        <f>MAX(Data_Simulasi!B2:B1001)</f>
        <v>70</v>
      </c>
    </row>
    <row r="13" spans="1:7" ht="24.95" customHeight="1">
      <c r="A13" s="8" t="s">
        <v>1061</v>
      </c>
      <c r="B13" s="7">
        <f>AVERAGE(Data_Simulasi!B2:B1001)</f>
        <v>40.149000000000001</v>
      </c>
    </row>
    <row r="14" spans="1:7" ht="24.95" customHeight="1">
      <c r="A14" s="8" t="s">
        <v>1062</v>
      </c>
      <c r="B14" s="2">
        <f>AVERAGE(Data_Simulasi!C2:C1001)</f>
        <v>6597600</v>
      </c>
    </row>
    <row r="15" spans="1:7" ht="24.95" customHeight="1">
      <c r="A15" s="8" t="s">
        <v>1063</v>
      </c>
      <c r="B15" s="2">
        <f>AVERAGE(Data_Simulasi!D2:D1001)</f>
        <v>34117700</v>
      </c>
    </row>
    <row r="17" spans="1:7" ht="38.1" customHeight="1">
      <c r="A17" s="16" t="s">
        <v>1064</v>
      </c>
      <c r="B17" s="16"/>
      <c r="C17" s="16"/>
      <c r="D17" s="16"/>
      <c r="E17" s="16"/>
      <c r="F17" s="16"/>
      <c r="G17" s="16"/>
    </row>
  </sheetData>
  <mergeCells count="3">
    <mergeCell ref="A1:G2"/>
    <mergeCell ref="A4:G4"/>
    <mergeCell ref="A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sqref="A1:E2"/>
    </sheetView>
  </sheetViews>
  <sheetFormatPr defaultRowHeight="14.25"/>
  <cols>
    <col min="1" max="1" width="14" customWidth="1"/>
    <col min="2" max="2" width="105" customWidth="1"/>
  </cols>
  <sheetData>
    <row r="1" spans="1:5" ht="24.95" customHeight="1">
      <c r="A1" s="11" t="s">
        <v>1065</v>
      </c>
      <c r="B1" s="11"/>
      <c r="C1" s="11"/>
      <c r="D1" s="11"/>
      <c r="E1" s="11"/>
    </row>
    <row r="2" spans="1:5" ht="24.95" customHeight="1">
      <c r="A2" s="11"/>
      <c r="B2" s="11"/>
      <c r="C2" s="11"/>
      <c r="D2" s="11"/>
      <c r="E2" s="11"/>
    </row>
    <row r="4" spans="1:5" ht="24.95" customHeight="1">
      <c r="A4" s="4" t="s">
        <v>1066</v>
      </c>
      <c r="B4" s="4" t="s">
        <v>1067</v>
      </c>
    </row>
    <row r="5" spans="1:5" ht="38.1" customHeight="1">
      <c r="A5" s="6" t="s">
        <v>1068</v>
      </c>
      <c r="B5" s="6" t="s">
        <v>1069</v>
      </c>
    </row>
    <row r="6" spans="1:5" ht="38.1" customHeight="1">
      <c r="A6" s="6" t="s">
        <v>1070</v>
      </c>
      <c r="B6" s="6" t="s">
        <v>1071</v>
      </c>
    </row>
    <row r="7" spans="1:5" ht="38.1" customHeight="1">
      <c r="A7" s="6" t="s">
        <v>1072</v>
      </c>
      <c r="B7" s="6" t="s">
        <v>1073</v>
      </c>
    </row>
    <row r="8" spans="1:5" ht="38.1" customHeight="1">
      <c r="A8" s="6" t="s">
        <v>1074</v>
      </c>
      <c r="B8" s="6" t="s">
        <v>1075</v>
      </c>
    </row>
    <row r="9" spans="1:5" ht="38.1" customHeight="1">
      <c r="A9" s="6" t="s">
        <v>1076</v>
      </c>
      <c r="B9" s="6" t="s">
        <v>1077</v>
      </c>
    </row>
    <row r="10" spans="1:5" ht="38.1" customHeight="1">
      <c r="A10" s="6" t="s">
        <v>1078</v>
      </c>
      <c r="B10" s="6" t="s">
        <v>1079</v>
      </c>
    </row>
    <row r="11" spans="1:5" ht="38.1" customHeight="1">
      <c r="A11" s="6" t="s">
        <v>1080</v>
      </c>
      <c r="B11" s="6" t="s">
        <v>1081</v>
      </c>
    </row>
    <row r="12" spans="1:5" ht="38.1" customHeight="1">
      <c r="A12" s="6" t="s">
        <v>1082</v>
      </c>
      <c r="B12" s="6" t="s">
        <v>1083</v>
      </c>
    </row>
    <row r="13" spans="1:5" ht="38.1" customHeight="1">
      <c r="A13" s="6" t="s">
        <v>1084</v>
      </c>
      <c r="B13" s="6" t="s">
        <v>1085</v>
      </c>
    </row>
    <row r="15" spans="1:5" ht="36" customHeight="1">
      <c r="A15" s="17" t="s">
        <v>1086</v>
      </c>
      <c r="B15" s="17"/>
      <c r="C15" s="17"/>
      <c r="D15" s="17"/>
      <c r="E15" s="17"/>
    </row>
  </sheetData>
  <mergeCells count="2">
    <mergeCell ref="A1:E2"/>
    <mergeCell ref="A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A28-8C8E-41C5-9575-BBEC44FBC0C4}">
  <dimension ref="F10:J51"/>
  <sheetViews>
    <sheetView tabSelected="1" topLeftCell="A16" workbookViewId="0">
      <selection activeCell="F42" sqref="F42:H51"/>
    </sheetView>
  </sheetViews>
  <sheetFormatPr defaultRowHeight="14.25"/>
  <cols>
    <col min="6" max="6" width="31.25" customWidth="1"/>
    <col min="7" max="7" width="19.375" customWidth="1"/>
    <col min="8" max="8" width="16.375" customWidth="1"/>
    <col min="9" max="9" width="16.5" customWidth="1"/>
    <col min="10" max="10" width="14.875" customWidth="1"/>
  </cols>
  <sheetData>
    <row r="10" spans="6:10">
      <c r="F10" s="18" t="s">
        <v>1087</v>
      </c>
      <c r="G10" s="18" t="s">
        <v>1088</v>
      </c>
      <c r="H10" s="18" t="s">
        <v>1089</v>
      </c>
      <c r="I10" s="18" t="s">
        <v>1090</v>
      </c>
      <c r="J10" s="18" t="s">
        <v>1091</v>
      </c>
    </row>
    <row r="11" spans="6:10">
      <c r="F11" s="18" t="s">
        <v>1092</v>
      </c>
      <c r="G11" s="18">
        <v>549</v>
      </c>
      <c r="H11" s="18">
        <v>68.62</v>
      </c>
      <c r="I11" s="18">
        <v>137</v>
      </c>
      <c r="J11" s="18">
        <v>68.5</v>
      </c>
    </row>
    <row r="12" spans="6:10">
      <c r="F12" s="18" t="s">
        <v>1093</v>
      </c>
      <c r="G12" s="18">
        <v>251</v>
      </c>
      <c r="H12" s="18">
        <v>31.38</v>
      </c>
      <c r="I12" s="18">
        <v>63</v>
      </c>
      <c r="J12" s="18">
        <v>31.5</v>
      </c>
    </row>
    <row r="13" spans="6:10">
      <c r="F13" s="18" t="s">
        <v>1094</v>
      </c>
      <c r="G13" s="18">
        <v>800</v>
      </c>
      <c r="H13" s="18">
        <v>100</v>
      </c>
      <c r="I13" s="18">
        <v>200</v>
      </c>
      <c r="J13" s="18">
        <v>100</v>
      </c>
    </row>
    <row r="18" spans="6:7">
      <c r="F18" s="18" t="s">
        <v>1095</v>
      </c>
      <c r="G18" s="18" t="s">
        <v>1096</v>
      </c>
    </row>
    <row r="19" spans="6:7">
      <c r="F19" s="18" t="s">
        <v>1097</v>
      </c>
      <c r="G19" s="18">
        <v>-4.6328068050000004</v>
      </c>
    </row>
    <row r="20" spans="6:7">
      <c r="F20" s="18" t="s">
        <v>1098</v>
      </c>
      <c r="G20" s="18">
        <v>4.8193562000000002E-2</v>
      </c>
    </row>
    <row r="21" spans="6:7">
      <c r="F21" s="18" t="s">
        <v>1099</v>
      </c>
      <c r="G21" s="18">
        <v>0.15225934999999999</v>
      </c>
    </row>
    <row r="22" spans="6:7">
      <c r="F22" s="18" t="s">
        <v>1100</v>
      </c>
      <c r="G22" s="18">
        <v>1.3676414E-2</v>
      </c>
    </row>
    <row r="23" spans="6:7">
      <c r="F23" s="18" t="s">
        <v>1101</v>
      </c>
      <c r="G23" s="18">
        <v>0.22673059300000001</v>
      </c>
    </row>
    <row r="24" spans="6:7">
      <c r="F24" s="18" t="s">
        <v>1102</v>
      </c>
      <c r="G24" s="18">
        <v>0.31807861500000001</v>
      </c>
    </row>
    <row r="25" spans="6:7">
      <c r="F25" s="18" t="s">
        <v>1103</v>
      </c>
      <c r="G25" s="18">
        <v>0.37756102499999999</v>
      </c>
    </row>
    <row r="26" spans="6:7">
      <c r="F26" s="18" t="s">
        <v>1104</v>
      </c>
      <c r="G26" s="18">
        <v>-0.66516397299999996</v>
      </c>
    </row>
    <row r="27" spans="6:7">
      <c r="F27" s="18" t="s">
        <v>1105</v>
      </c>
      <c r="G27" s="18">
        <v>0.79081521399999999</v>
      </c>
    </row>
    <row r="32" spans="6:7">
      <c r="F32" s="19" t="s">
        <v>1106</v>
      </c>
      <c r="G32" s="19" t="s">
        <v>1107</v>
      </c>
    </row>
    <row r="33" spans="6:8">
      <c r="F33" s="19" t="s">
        <v>1</v>
      </c>
      <c r="G33" s="19" t="s">
        <v>1108</v>
      </c>
    </row>
    <row r="34" spans="6:8">
      <c r="F34" s="19" t="s">
        <v>1109</v>
      </c>
      <c r="G34" s="19" t="s">
        <v>1110</v>
      </c>
    </row>
    <row r="35" spans="6:8">
      <c r="F35" s="19" t="s">
        <v>1111</v>
      </c>
      <c r="G35" s="19" t="s">
        <v>1112</v>
      </c>
    </row>
    <row r="36" spans="6:8">
      <c r="F36" s="19" t="s">
        <v>4</v>
      </c>
      <c r="G36" s="19" t="s">
        <v>14</v>
      </c>
    </row>
    <row r="37" spans="6:8">
      <c r="F37" s="19" t="s">
        <v>1113</v>
      </c>
      <c r="G37" s="19" t="s">
        <v>12</v>
      </c>
    </row>
    <row r="38" spans="6:8">
      <c r="F38" s="19" t="s">
        <v>1114</v>
      </c>
      <c r="G38" s="19" t="s">
        <v>10</v>
      </c>
    </row>
    <row r="42" spans="6:8">
      <c r="F42" s="19" t="s">
        <v>1095</v>
      </c>
      <c r="G42" s="19" t="s">
        <v>1115</v>
      </c>
      <c r="H42" s="19" t="s">
        <v>1116</v>
      </c>
    </row>
    <row r="43" spans="6:8">
      <c r="F43" s="19" t="s">
        <v>1097</v>
      </c>
      <c r="G43" s="19">
        <v>1</v>
      </c>
      <c r="H43" s="19">
        <v>-4.6328068050000004</v>
      </c>
    </row>
    <row r="44" spans="6:8">
      <c r="F44" s="19" t="s">
        <v>1098</v>
      </c>
      <c r="G44" s="19">
        <v>45</v>
      </c>
      <c r="H44" s="19">
        <v>2.168710269</v>
      </c>
    </row>
    <row r="45" spans="6:8">
      <c r="F45" s="19" t="s">
        <v>1099</v>
      </c>
      <c r="G45" s="19">
        <v>10</v>
      </c>
      <c r="H45" s="19">
        <v>1.5225935020000001</v>
      </c>
    </row>
    <row r="46" spans="6:8">
      <c r="F46" s="19" t="s">
        <v>1100</v>
      </c>
      <c r="G46" s="19">
        <v>50</v>
      </c>
      <c r="H46" s="19">
        <v>0.68382069300000003</v>
      </c>
    </row>
    <row r="47" spans="6:8">
      <c r="F47" s="19" t="s">
        <v>1101</v>
      </c>
      <c r="G47" s="19">
        <v>1</v>
      </c>
      <c r="H47" s="19">
        <v>0.22673059300000001</v>
      </c>
    </row>
    <row r="48" spans="6:8">
      <c r="F48" s="19" t="s">
        <v>1102</v>
      </c>
      <c r="G48" s="19">
        <v>0</v>
      </c>
      <c r="H48" s="19">
        <v>0</v>
      </c>
    </row>
    <row r="49" spans="6:8">
      <c r="F49" s="19" t="s">
        <v>1103</v>
      </c>
      <c r="G49" s="19">
        <v>0</v>
      </c>
      <c r="H49" s="19">
        <v>0</v>
      </c>
    </row>
    <row r="50" spans="6:8">
      <c r="F50" s="19" t="s">
        <v>1104</v>
      </c>
      <c r="G50" s="19">
        <v>0</v>
      </c>
      <c r="H50" s="19">
        <v>0</v>
      </c>
    </row>
    <row r="51" spans="6:8">
      <c r="F51" s="19" t="s">
        <v>1105</v>
      </c>
      <c r="G51" s="19">
        <v>1</v>
      </c>
      <c r="H51" s="19">
        <v>0.79081521399999999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Data_Simulasi</vt:lpstr>
      <vt:lpstr>Kamus_Variabel</vt:lpstr>
      <vt:lpstr>Ringkasan</vt:lpstr>
      <vt:lpstr>Panduan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 gio</cp:lastModifiedBy>
  <dcterms:modified xsi:type="dcterms:W3CDTF">2026-10-24T08:12:14Z</dcterms:modified>
</cp:coreProperties>
</file>